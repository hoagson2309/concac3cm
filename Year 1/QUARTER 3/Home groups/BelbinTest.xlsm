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xml"/>
  <Override PartName="/xl/charts/chart4.xml" ContentType="application/vnd.openxmlformats-officedocument.drawingml.chart+xml"/>
  <Override PartName="/xl/drawings/drawing6.xml" ContentType="application/vnd.openxmlformats-officedocument.drawing+xml"/>
  <Override PartName="/xl/charts/chart5.xml" ContentType="application/vnd.openxmlformats-officedocument.drawingml.chart+xml"/>
  <Override PartName="/xl/drawings/drawing7.xml" ContentType="application/vnd.openxmlformats-officedocument.drawing+xml"/>
  <Override PartName="/xl/charts/chart6.xml" ContentType="application/vnd.openxmlformats-officedocument.drawingml.chart+xml"/>
  <Override PartName="/xl/drawings/drawing8.xml" ContentType="application/vnd.openxmlformats-officedocument.drawing+xml"/>
  <Override PartName="/xl/charts/chart7.xml" ContentType="application/vnd.openxmlformats-officedocument.drawingml.chart+xml"/>
  <Override PartName="/xl/drawings/drawing9.xml" ContentType="application/vnd.openxmlformats-officedocument.drawing+xml"/>
  <Override PartName="/xl/charts/chart8.xml" ContentType="application/vnd.openxmlformats-officedocument.drawingml.chart+xml"/>
  <Override PartName="/xl/drawings/drawing10.xml" ContentType="application/vnd.openxmlformats-officedocument.drawing+xml"/>
  <Override PartName="/xl/charts/chart9.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526"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hoang\Downloads\"/>
    </mc:Choice>
  </mc:AlternateContent>
  <xr:revisionPtr revIDLastSave="0" documentId="13_ncr:1_{0065536D-F173-460A-BED8-ABCFC4ED7097}" xr6:coauthVersionLast="47" xr6:coauthVersionMax="47" xr10:uidLastSave="{00000000-0000-0000-0000-000000000000}"/>
  <bookViews>
    <workbookView xWindow="-108" yWindow="-108" windowWidth="23256" windowHeight="12456" activeTab="2" xr2:uid="{00000000-000D-0000-FFFF-FFFF00000000}"/>
  </bookViews>
  <sheets>
    <sheet name="Start" sheetId="12" r:id="rId1"/>
    <sheet name="SON CAO" sheetId="23" r:id="rId2"/>
    <sheet name="2" sheetId="22" r:id="rId3"/>
    <sheet name="3" sheetId="24" r:id="rId4"/>
    <sheet name="4" sheetId="25" r:id="rId5"/>
    <sheet name="5" sheetId="26" r:id="rId6"/>
    <sheet name="6" sheetId="27" r:id="rId7"/>
    <sheet name="7" sheetId="18" r:id="rId8"/>
    <sheet name="8" sheetId="28" r:id="rId9"/>
    <sheet name="Total" sheetId="10" r:id="rId10"/>
    <sheet name="Graph" sheetId="11" r:id="rId11"/>
    <sheet name="Belbin Roles" sheetId="20" r:id="rId12"/>
    <sheet name="Belbin Roles (2)" sheetId="21" r:id="rId1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V4" i="25" l="1"/>
  <c r="DX3" i="25"/>
  <c r="EV4" i="24"/>
  <c r="DX3" i="24"/>
  <c r="EV4" i="22"/>
  <c r="DX3" i="22"/>
  <c r="EV4" i="23"/>
  <c r="DX3" i="23"/>
  <c r="EH17" i="28"/>
  <c r="EG17" i="28"/>
  <c r="EF17" i="28"/>
  <c r="EE17" i="28"/>
  <c r="ED17" i="28"/>
  <c r="EC17" i="28"/>
  <c r="EB17" i="28"/>
  <c r="EA17" i="28"/>
  <c r="DZ17" i="28"/>
  <c r="EH15" i="28"/>
  <c r="EG15" i="28"/>
  <c r="EF15" i="28"/>
  <c r="EE15" i="28"/>
  <c r="ED15" i="28"/>
  <c r="EC15" i="28"/>
  <c r="EB15" i="28"/>
  <c r="EA15" i="28"/>
  <c r="DZ15" i="28"/>
  <c r="EU13" i="28"/>
  <c r="EH13" i="28"/>
  <c r="EG13" i="28"/>
  <c r="EF13" i="28"/>
  <c r="EE13" i="28"/>
  <c r="ED13" i="28"/>
  <c r="EC13" i="28"/>
  <c r="EB13" i="28"/>
  <c r="EA13" i="28"/>
  <c r="DZ13" i="28"/>
  <c r="EU12" i="28"/>
  <c r="EU11" i="28"/>
  <c r="EH11" i="28"/>
  <c r="EG11" i="28"/>
  <c r="EF11" i="28"/>
  <c r="EE11" i="28"/>
  <c r="ED11" i="28"/>
  <c r="EC11" i="28"/>
  <c r="EB11" i="28"/>
  <c r="EA11" i="28"/>
  <c r="DZ11" i="28"/>
  <c r="DM11" i="28"/>
  <c r="DN15" i="28" s="1"/>
  <c r="CU11" i="28"/>
  <c r="CV13" i="28" s="1"/>
  <c r="CC11" i="28"/>
  <c r="CD11" i="28" s="1"/>
  <c r="BK11" i="28"/>
  <c r="BL13" i="28" s="1"/>
  <c r="AS11" i="28"/>
  <c r="AT15" i="28" s="1"/>
  <c r="AA11" i="28"/>
  <c r="AB13" i="28" s="1"/>
  <c r="I11" i="28"/>
  <c r="J11" i="28" s="1"/>
  <c r="EU10" i="28"/>
  <c r="EU9" i="28"/>
  <c r="EH9" i="28"/>
  <c r="EG9" i="28"/>
  <c r="EF9" i="28"/>
  <c r="EE9" i="28"/>
  <c r="ED9" i="28"/>
  <c r="EC9" i="28"/>
  <c r="EB9" i="28"/>
  <c r="EA9" i="28"/>
  <c r="DZ9" i="28"/>
  <c r="EU8" i="28"/>
  <c r="EU7" i="28"/>
  <c r="EH7" i="28"/>
  <c r="EG7" i="28"/>
  <c r="EF7" i="28"/>
  <c r="EE7" i="28"/>
  <c r="ED7" i="28"/>
  <c r="EC7" i="28"/>
  <c r="EB7" i="28"/>
  <c r="EA7" i="28"/>
  <c r="DZ7" i="28"/>
  <c r="EU6" i="28"/>
  <c r="EU5" i="28"/>
  <c r="EH5" i="28"/>
  <c r="EG5" i="28"/>
  <c r="EF5" i="28"/>
  <c r="EE5" i="28"/>
  <c r="ED5" i="28"/>
  <c r="EC5" i="28"/>
  <c r="EB5" i="28"/>
  <c r="EA5" i="28"/>
  <c r="DZ5" i="28"/>
  <c r="EV4" i="28"/>
  <c r="DX3" i="28"/>
  <c r="EH17" i="27"/>
  <c r="EG17" i="27"/>
  <c r="EF17" i="27"/>
  <c r="EE17" i="27"/>
  <c r="ED17" i="27"/>
  <c r="EC17" i="27"/>
  <c r="EB17" i="27"/>
  <c r="EA17" i="27"/>
  <c r="DZ17" i="27"/>
  <c r="EH15" i="27"/>
  <c r="EG15" i="27"/>
  <c r="EF15" i="27"/>
  <c r="EE15" i="27"/>
  <c r="ED15" i="27"/>
  <c r="EC15" i="27"/>
  <c r="EB15" i="27"/>
  <c r="EA15" i="27"/>
  <c r="DZ15" i="27"/>
  <c r="EU13" i="27"/>
  <c r="EH13" i="27"/>
  <c r="EG13" i="27"/>
  <c r="EF13" i="27"/>
  <c r="EE13" i="27"/>
  <c r="ED13" i="27"/>
  <c r="EC13" i="27"/>
  <c r="EB13" i="27"/>
  <c r="EA13" i="27"/>
  <c r="DZ13" i="27"/>
  <c r="EU12" i="27"/>
  <c r="EU11" i="27"/>
  <c r="EH11" i="27"/>
  <c r="EG11" i="27"/>
  <c r="EF11" i="27"/>
  <c r="EE11" i="27"/>
  <c r="ED11" i="27"/>
  <c r="EC11" i="27"/>
  <c r="EB11" i="27"/>
  <c r="EA11" i="27"/>
  <c r="DZ11" i="27"/>
  <c r="DM11" i="27"/>
  <c r="DN15" i="27" s="1"/>
  <c r="CU11" i="27"/>
  <c r="CV13" i="27" s="1"/>
  <c r="CC11" i="27"/>
  <c r="CD11" i="27" s="1"/>
  <c r="BK11" i="27"/>
  <c r="BL13" i="27" s="1"/>
  <c r="AS11" i="27"/>
  <c r="AT15" i="27" s="1"/>
  <c r="AA11" i="27"/>
  <c r="AB13" i="27" s="1"/>
  <c r="I11" i="27"/>
  <c r="J11" i="27" s="1"/>
  <c r="EU10" i="27"/>
  <c r="EU9" i="27"/>
  <c r="EH9" i="27"/>
  <c r="EG9" i="27"/>
  <c r="EF9" i="27"/>
  <c r="EE9" i="27"/>
  <c r="ED9" i="27"/>
  <c r="EC9" i="27"/>
  <c r="EB9" i="27"/>
  <c r="EA9" i="27"/>
  <c r="DZ9" i="27"/>
  <c r="EU8" i="27"/>
  <c r="EU7" i="27"/>
  <c r="EH7" i="27"/>
  <c r="EG7" i="27"/>
  <c r="EF7" i="27"/>
  <c r="EE7" i="27"/>
  <c r="ED7" i="27"/>
  <c r="EC7" i="27"/>
  <c r="EB7" i="27"/>
  <c r="EA7" i="27"/>
  <c r="DZ7" i="27"/>
  <c r="EU6" i="27"/>
  <c r="EU5" i="27"/>
  <c r="EH5" i="27"/>
  <c r="EG5" i="27"/>
  <c r="EF5" i="27"/>
  <c r="EE5" i="27"/>
  <c r="ED5" i="27"/>
  <c r="EC5" i="27"/>
  <c r="EB5" i="27"/>
  <c r="EA5" i="27"/>
  <c r="DZ5" i="27"/>
  <c r="EV4" i="27"/>
  <c r="DX3" i="27"/>
  <c r="EH17" i="26"/>
  <c r="EG17" i="26"/>
  <c r="EF17" i="26"/>
  <c r="EE17" i="26"/>
  <c r="ED17" i="26"/>
  <c r="EC17" i="26"/>
  <c r="EB17" i="26"/>
  <c r="EA17" i="26"/>
  <c r="DZ17" i="26"/>
  <c r="EH15" i="26"/>
  <c r="EG15" i="26"/>
  <c r="EF15" i="26"/>
  <c r="EE15" i="26"/>
  <c r="ED15" i="26"/>
  <c r="EC15" i="26"/>
  <c r="EB15" i="26"/>
  <c r="EA15" i="26"/>
  <c r="DZ15" i="26"/>
  <c r="EU13" i="26"/>
  <c r="EH13" i="26"/>
  <c r="EG13" i="26"/>
  <c r="EF13" i="26"/>
  <c r="EE13" i="26"/>
  <c r="ED13" i="26"/>
  <c r="EC13" i="26"/>
  <c r="EB13" i="26"/>
  <c r="EA13" i="26"/>
  <c r="DZ13" i="26"/>
  <c r="EU12" i="26"/>
  <c r="EU11" i="26"/>
  <c r="EH11" i="26"/>
  <c r="EG11" i="26"/>
  <c r="EF11" i="26"/>
  <c r="EE11" i="26"/>
  <c r="ED11" i="26"/>
  <c r="EC11" i="26"/>
  <c r="EB11" i="26"/>
  <c r="EA11" i="26"/>
  <c r="DZ11" i="26"/>
  <c r="DM11" i="26"/>
  <c r="DN15" i="26" s="1"/>
  <c r="CU11" i="26"/>
  <c r="CV13" i="26" s="1"/>
  <c r="CC11" i="26"/>
  <c r="CD11" i="26" s="1"/>
  <c r="BK11" i="26"/>
  <c r="BL13" i="26" s="1"/>
  <c r="AS11" i="26"/>
  <c r="AT15" i="26" s="1"/>
  <c r="AA11" i="26"/>
  <c r="AB13" i="26" s="1"/>
  <c r="I11" i="26"/>
  <c r="J11" i="26" s="1"/>
  <c r="EU10" i="26"/>
  <c r="EU9" i="26"/>
  <c r="EH9" i="26"/>
  <c r="EG9" i="26"/>
  <c r="EF9" i="26"/>
  <c r="EE9" i="26"/>
  <c r="ED9" i="26"/>
  <c r="EC9" i="26"/>
  <c r="EB9" i="26"/>
  <c r="EA9" i="26"/>
  <c r="DZ9" i="26"/>
  <c r="EU8" i="26"/>
  <c r="EU7" i="26"/>
  <c r="EH7" i="26"/>
  <c r="EG7" i="26"/>
  <c r="EF7" i="26"/>
  <c r="EE7" i="26"/>
  <c r="ED7" i="26"/>
  <c r="EC7" i="26"/>
  <c r="EB7" i="26"/>
  <c r="EA7" i="26"/>
  <c r="DZ7" i="26"/>
  <c r="EU6" i="26"/>
  <c r="EU5" i="26"/>
  <c r="EH5" i="26"/>
  <c r="EG5" i="26"/>
  <c r="EF5" i="26"/>
  <c r="EE5" i="26"/>
  <c r="ED5" i="26"/>
  <c r="EC5" i="26"/>
  <c r="EB5" i="26"/>
  <c r="EA5" i="26"/>
  <c r="DZ5" i="26"/>
  <c r="EV4" i="26"/>
  <c r="DX3" i="26"/>
  <c r="EH17" i="25"/>
  <c r="EG17" i="25"/>
  <c r="EF17" i="25"/>
  <c r="EE17" i="25"/>
  <c r="ED17" i="25"/>
  <c r="EC17" i="25"/>
  <c r="EB17" i="25"/>
  <c r="EA17" i="25"/>
  <c r="DZ17" i="25"/>
  <c r="EH15" i="25"/>
  <c r="EG15" i="25"/>
  <c r="EF15" i="25"/>
  <c r="EE15" i="25"/>
  <c r="ED15" i="25"/>
  <c r="EC15" i="25"/>
  <c r="EB15" i="25"/>
  <c r="EA15" i="25"/>
  <c r="DZ15" i="25"/>
  <c r="EU13" i="25"/>
  <c r="EH13" i="25"/>
  <c r="EG13" i="25"/>
  <c r="EF13" i="25"/>
  <c r="EE13" i="25"/>
  <c r="ED13" i="25"/>
  <c r="EC13" i="25"/>
  <c r="EB13" i="25"/>
  <c r="EA13" i="25"/>
  <c r="DZ13" i="25"/>
  <c r="EU12" i="25"/>
  <c r="EU11" i="25"/>
  <c r="EH11" i="25"/>
  <c r="EG11" i="25"/>
  <c r="EF11" i="25"/>
  <c r="EE11" i="25"/>
  <c r="ED11" i="25"/>
  <c r="EC11" i="25"/>
  <c r="EB11" i="25"/>
  <c r="EA11" i="25"/>
  <c r="DZ11" i="25"/>
  <c r="DM11" i="25"/>
  <c r="DN15" i="25" s="1"/>
  <c r="CU11" i="25"/>
  <c r="CV13" i="25" s="1"/>
  <c r="CC11" i="25"/>
  <c r="CD11" i="25" s="1"/>
  <c r="BK11" i="25"/>
  <c r="BL13" i="25" s="1"/>
  <c r="AS11" i="25"/>
  <c r="AT15" i="25" s="1"/>
  <c r="AA11" i="25"/>
  <c r="AB13" i="25" s="1"/>
  <c r="I11" i="25"/>
  <c r="J11" i="25" s="1"/>
  <c r="EU10" i="25"/>
  <c r="EU9" i="25"/>
  <c r="EH9" i="25"/>
  <c r="EG9" i="25"/>
  <c r="EF9" i="25"/>
  <c r="EE9" i="25"/>
  <c r="ED9" i="25"/>
  <c r="EC9" i="25"/>
  <c r="EB9" i="25"/>
  <c r="EA9" i="25"/>
  <c r="DZ9" i="25"/>
  <c r="EU8" i="25"/>
  <c r="EU7" i="25"/>
  <c r="EH7" i="25"/>
  <c r="EG7" i="25"/>
  <c r="EF7" i="25"/>
  <c r="EE7" i="25"/>
  <c r="ED7" i="25"/>
  <c r="EC7" i="25"/>
  <c r="EB7" i="25"/>
  <c r="EA7" i="25"/>
  <c r="DZ7" i="25"/>
  <c r="EU6" i="25"/>
  <c r="EU5" i="25"/>
  <c r="EH5" i="25"/>
  <c r="EG5" i="25"/>
  <c r="EF5" i="25"/>
  <c r="EE5" i="25"/>
  <c r="ED5" i="25"/>
  <c r="EC5" i="25"/>
  <c r="EB5" i="25"/>
  <c r="EA5" i="25"/>
  <c r="DZ5" i="25"/>
  <c r="EH17" i="24"/>
  <c r="EG17" i="24"/>
  <c r="EF17" i="24"/>
  <c r="EE17" i="24"/>
  <c r="ED17" i="24"/>
  <c r="EC17" i="24"/>
  <c r="EB17" i="24"/>
  <c r="EA17" i="24"/>
  <c r="DZ17" i="24"/>
  <c r="EH15" i="24"/>
  <c r="EG15" i="24"/>
  <c r="EF15" i="24"/>
  <c r="EE15" i="24"/>
  <c r="ED15" i="24"/>
  <c r="EC15" i="24"/>
  <c r="EB15" i="24"/>
  <c r="EA15" i="24"/>
  <c r="DZ15" i="24"/>
  <c r="EU13" i="24"/>
  <c r="EH13" i="24"/>
  <c r="EG13" i="24"/>
  <c r="EF13" i="24"/>
  <c r="EE13" i="24"/>
  <c r="ED13" i="24"/>
  <c r="EC13" i="24"/>
  <c r="EB13" i="24"/>
  <c r="EA13" i="24"/>
  <c r="DZ13" i="24"/>
  <c r="EU12" i="24"/>
  <c r="EU11" i="24"/>
  <c r="EH11" i="24"/>
  <c r="EG11" i="24"/>
  <c r="EF11" i="24"/>
  <c r="EE11" i="24"/>
  <c r="ED11" i="24"/>
  <c r="EC11" i="24"/>
  <c r="EB11" i="24"/>
  <c r="EA11" i="24"/>
  <c r="DZ11" i="24"/>
  <c r="DM11" i="24"/>
  <c r="DN15" i="24" s="1"/>
  <c r="CU11" i="24"/>
  <c r="CV13" i="24" s="1"/>
  <c r="CC11" i="24"/>
  <c r="CD11" i="24" s="1"/>
  <c r="BK11" i="24"/>
  <c r="BL13" i="24" s="1"/>
  <c r="AS11" i="24"/>
  <c r="AT15" i="24" s="1"/>
  <c r="AA11" i="24"/>
  <c r="AB13" i="24" s="1"/>
  <c r="I11" i="24"/>
  <c r="J11" i="24" s="1"/>
  <c r="EU10" i="24"/>
  <c r="EU9" i="24"/>
  <c r="EH9" i="24"/>
  <c r="EG9" i="24"/>
  <c r="EF9" i="24"/>
  <c r="EE9" i="24"/>
  <c r="ED9" i="24"/>
  <c r="EC9" i="24"/>
  <c r="EB9" i="24"/>
  <c r="EA9" i="24"/>
  <c r="DZ9" i="24"/>
  <c r="EU8" i="24"/>
  <c r="EU7" i="24"/>
  <c r="EH7" i="24"/>
  <c r="EG7" i="24"/>
  <c r="EF7" i="24"/>
  <c r="EE7" i="24"/>
  <c r="ED7" i="24"/>
  <c r="EC7" i="24"/>
  <c r="EB7" i="24"/>
  <c r="EA7" i="24"/>
  <c r="DZ7" i="24"/>
  <c r="EU6" i="24"/>
  <c r="EU5" i="24"/>
  <c r="EH5" i="24"/>
  <c r="EG5" i="24"/>
  <c r="EF5" i="24"/>
  <c r="EE5" i="24"/>
  <c r="ED5" i="24"/>
  <c r="EC5" i="24"/>
  <c r="EB5" i="24"/>
  <c r="EA5" i="24"/>
  <c r="DZ5" i="24"/>
  <c r="EH17" i="23"/>
  <c r="EG17" i="23"/>
  <c r="EF17" i="23"/>
  <c r="EE17" i="23"/>
  <c r="ED17" i="23"/>
  <c r="EC17" i="23"/>
  <c r="EB17" i="23"/>
  <c r="EA17" i="23"/>
  <c r="DZ17" i="23"/>
  <c r="EH15" i="23"/>
  <c r="EG15" i="23"/>
  <c r="EF15" i="23"/>
  <c r="EE15" i="23"/>
  <c r="ED15" i="23"/>
  <c r="EC15" i="23"/>
  <c r="EB15" i="23"/>
  <c r="EA15" i="23"/>
  <c r="DZ15" i="23"/>
  <c r="EU13" i="23"/>
  <c r="EH13" i="23"/>
  <c r="EG13" i="23"/>
  <c r="EF13" i="23"/>
  <c r="EE13" i="23"/>
  <c r="ED13" i="23"/>
  <c r="EC13" i="23"/>
  <c r="EB13" i="23"/>
  <c r="EA13" i="23"/>
  <c r="DZ13" i="23"/>
  <c r="EU12" i="23"/>
  <c r="EU11" i="23"/>
  <c r="EH11" i="23"/>
  <c r="EG11" i="23"/>
  <c r="EF11" i="23"/>
  <c r="EE11" i="23"/>
  <c r="ED11" i="23"/>
  <c r="EC11" i="23"/>
  <c r="EB11" i="23"/>
  <c r="EA11" i="23"/>
  <c r="DZ11" i="23"/>
  <c r="DM11" i="23"/>
  <c r="DN15" i="23" s="1"/>
  <c r="CU11" i="23"/>
  <c r="CV13" i="23" s="1"/>
  <c r="CC11" i="23"/>
  <c r="CD11" i="23" s="1"/>
  <c r="BK11" i="23"/>
  <c r="BL13" i="23" s="1"/>
  <c r="AS11" i="23"/>
  <c r="AT15" i="23" s="1"/>
  <c r="AA11" i="23"/>
  <c r="AB13" i="23" s="1"/>
  <c r="I11" i="23"/>
  <c r="J11" i="23" s="1"/>
  <c r="EU10" i="23"/>
  <c r="EU9" i="23"/>
  <c r="EH9" i="23"/>
  <c r="EG9" i="23"/>
  <c r="EF9" i="23"/>
  <c r="EE9" i="23"/>
  <c r="ED9" i="23"/>
  <c r="EC9" i="23"/>
  <c r="EB9" i="23"/>
  <c r="EA9" i="23"/>
  <c r="DZ9" i="23"/>
  <c r="EU8" i="23"/>
  <c r="EU7" i="23"/>
  <c r="EH7" i="23"/>
  <c r="EG7" i="23"/>
  <c r="EF7" i="23"/>
  <c r="EE7" i="23"/>
  <c r="ED7" i="23"/>
  <c r="EC7" i="23"/>
  <c r="EB7" i="23"/>
  <c r="EA7" i="23"/>
  <c r="DZ7" i="23"/>
  <c r="EU6" i="23"/>
  <c r="EU5" i="23"/>
  <c r="EH5" i="23"/>
  <c r="EG5" i="23"/>
  <c r="EF5" i="23"/>
  <c r="EE5" i="23"/>
  <c r="ED5" i="23"/>
  <c r="EC5" i="23"/>
  <c r="EB5" i="23"/>
  <c r="EA5" i="23"/>
  <c r="DZ5" i="23"/>
  <c r="EH17" i="22"/>
  <c r="EG17" i="22"/>
  <c r="EF17" i="22"/>
  <c r="EE17" i="22"/>
  <c r="ED17" i="22"/>
  <c r="EC17" i="22"/>
  <c r="EB17" i="22"/>
  <c r="EA17" i="22"/>
  <c r="DZ17" i="22"/>
  <c r="EH15" i="22"/>
  <c r="EG15" i="22"/>
  <c r="EF15" i="22"/>
  <c r="EE15" i="22"/>
  <c r="ED15" i="22"/>
  <c r="EC15" i="22"/>
  <c r="EB15" i="22"/>
  <c r="EA15" i="22"/>
  <c r="DZ15" i="22"/>
  <c r="EU13" i="22"/>
  <c r="EH13" i="22"/>
  <c r="EG13" i="22"/>
  <c r="EF13" i="22"/>
  <c r="EE13" i="22"/>
  <c r="ED13" i="22"/>
  <c r="EC13" i="22"/>
  <c r="EB13" i="22"/>
  <c r="EA13" i="22"/>
  <c r="DZ13" i="22"/>
  <c r="EU12" i="22"/>
  <c r="EU11" i="22"/>
  <c r="EH11" i="22"/>
  <c r="EG11" i="22"/>
  <c r="EF11" i="22"/>
  <c r="EE11" i="22"/>
  <c r="ED11" i="22"/>
  <c r="EC11" i="22"/>
  <c r="EB11" i="22"/>
  <c r="EA11" i="22"/>
  <c r="DZ11" i="22"/>
  <c r="DM11" i="22"/>
  <c r="DN13" i="22" s="1"/>
  <c r="CU11" i="22"/>
  <c r="CV15" i="22" s="1"/>
  <c r="CC11" i="22"/>
  <c r="CD13" i="22" s="1"/>
  <c r="BK11" i="22"/>
  <c r="BL15" i="22" s="1"/>
  <c r="AS11" i="22"/>
  <c r="AT13" i="22" s="1"/>
  <c r="AA11" i="22"/>
  <c r="AB15" i="22" s="1"/>
  <c r="I11" i="22"/>
  <c r="J13" i="22" s="1"/>
  <c r="EU10" i="22"/>
  <c r="EU9" i="22"/>
  <c r="EH9" i="22"/>
  <c r="EG9" i="22"/>
  <c r="EF9" i="22"/>
  <c r="EE9" i="22"/>
  <c r="ED9" i="22"/>
  <c r="EC9" i="22"/>
  <c r="EB9" i="22"/>
  <c r="EA9" i="22"/>
  <c r="DZ9" i="22"/>
  <c r="EU8" i="22"/>
  <c r="EU7" i="22"/>
  <c r="EH7" i="22"/>
  <c r="EG7" i="22"/>
  <c r="EF7" i="22"/>
  <c r="EE7" i="22"/>
  <c r="ED7" i="22"/>
  <c r="EC7" i="22"/>
  <c r="EB7" i="22"/>
  <c r="EA7" i="22"/>
  <c r="DZ7" i="22"/>
  <c r="EU6" i="22"/>
  <c r="EU5" i="22"/>
  <c r="EH5" i="22"/>
  <c r="EG5" i="22"/>
  <c r="EF5" i="22"/>
  <c r="EE5" i="22"/>
  <c r="ED5" i="22"/>
  <c r="EC5" i="22"/>
  <c r="EB5" i="22"/>
  <c r="EA5" i="22"/>
  <c r="DZ5" i="22"/>
  <c r="EG19" i="28" l="1"/>
  <c r="EM19" i="28" s="1"/>
  <c r="EV12" i="28" s="1"/>
  <c r="EC19" i="28"/>
  <c r="EM11" i="28" s="1"/>
  <c r="EV8" i="28" s="1"/>
  <c r="EB19" i="28"/>
  <c r="EM9" i="28" s="1"/>
  <c r="EV7" i="28" s="1"/>
  <c r="EE19" i="28"/>
  <c r="EM15" i="28" s="1"/>
  <c r="EV10" i="28" s="1"/>
  <c r="EA19" i="28"/>
  <c r="EM7" i="28" s="1"/>
  <c r="EV6" i="28" s="1"/>
  <c r="EH19" i="28"/>
  <c r="EM21" i="28" s="1"/>
  <c r="EV13" i="28" s="1"/>
  <c r="DZ19" i="28"/>
  <c r="EM5" i="28" s="1"/>
  <c r="EF19" i="28"/>
  <c r="EM17" i="28" s="1"/>
  <c r="ED19" i="28"/>
  <c r="EM13" i="28" s="1"/>
  <c r="EB19" i="27"/>
  <c r="EM9" i="27" s="1"/>
  <c r="EV7" i="27" s="1"/>
  <c r="EG19" i="26"/>
  <c r="EM19" i="26" s="1"/>
  <c r="EV12" i="26" s="1"/>
  <c r="BL13" i="22"/>
  <c r="DN13" i="27"/>
  <c r="AT13" i="27"/>
  <c r="EA19" i="27"/>
  <c r="EM7" i="27" s="1"/>
  <c r="EV6" i="27" s="1"/>
  <c r="EG19" i="27"/>
  <c r="EM19" i="27" s="1"/>
  <c r="EV12" i="27" s="1"/>
  <c r="EC19" i="27"/>
  <c r="EM11" i="27" s="1"/>
  <c r="EF19" i="27"/>
  <c r="EM17" i="27" s="1"/>
  <c r="EV11" i="27" s="1"/>
  <c r="EE19" i="27"/>
  <c r="EM15" i="27" s="1"/>
  <c r="EV10" i="27" s="1"/>
  <c r="EH19" i="27"/>
  <c r="EM21" i="27" s="1"/>
  <c r="DZ19" i="27"/>
  <c r="EM5" i="27" s="1"/>
  <c r="ED19" i="27"/>
  <c r="EM13" i="27" s="1"/>
  <c r="EC19" i="26"/>
  <c r="EM11" i="26" s="1"/>
  <c r="EV8" i="26" s="1"/>
  <c r="EB19" i="26"/>
  <c r="EM9" i="26" s="1"/>
  <c r="EV7" i="26" s="1"/>
  <c r="EA19" i="26"/>
  <c r="EM7" i="26" s="1"/>
  <c r="EE19" i="26"/>
  <c r="EM15" i="26" s="1"/>
  <c r="EV10" i="26" s="1"/>
  <c r="EH19" i="26"/>
  <c r="EM21" i="26" s="1"/>
  <c r="DZ19" i="26"/>
  <c r="EM5" i="26" s="1"/>
  <c r="EF19" i="26"/>
  <c r="EM17" i="26" s="1"/>
  <c r="ED19" i="26"/>
  <c r="EM13" i="26" s="1"/>
  <c r="EE19" i="25"/>
  <c r="EM15" i="25" s="1"/>
  <c r="EV10" i="25" s="1"/>
  <c r="EA19" i="25"/>
  <c r="EM7" i="25" s="1"/>
  <c r="EV6" i="25" s="1"/>
  <c r="EG19" i="25"/>
  <c r="EM19" i="25" s="1"/>
  <c r="EV12" i="25" s="1"/>
  <c r="EC19" i="25"/>
  <c r="EM11" i="25" s="1"/>
  <c r="EV8" i="25" s="1"/>
  <c r="EB19" i="25"/>
  <c r="EM9" i="25" s="1"/>
  <c r="EH19" i="25"/>
  <c r="EM21" i="25" s="1"/>
  <c r="DZ19" i="25"/>
  <c r="EM5" i="25" s="1"/>
  <c r="EF19" i="25"/>
  <c r="EM17" i="25" s="1"/>
  <c r="ED19" i="25"/>
  <c r="EM13" i="25" s="1"/>
  <c r="DN13" i="24"/>
  <c r="EH19" i="24"/>
  <c r="EM21" i="24" s="1"/>
  <c r="ED19" i="24"/>
  <c r="EM13" i="24" s="1"/>
  <c r="EV9" i="24" s="1"/>
  <c r="AT13" i="24"/>
  <c r="EA19" i="24"/>
  <c r="EM7" i="24" s="1"/>
  <c r="EV6" i="24" s="1"/>
  <c r="EB19" i="24"/>
  <c r="EM9" i="24" s="1"/>
  <c r="EG19" i="24"/>
  <c r="EM19" i="24" s="1"/>
  <c r="EC19" i="24"/>
  <c r="EM11" i="24" s="1"/>
  <c r="EV8" i="24" s="1"/>
  <c r="EF19" i="24"/>
  <c r="EM17" i="24" s="1"/>
  <c r="EE19" i="24"/>
  <c r="EM15" i="24" s="1"/>
  <c r="DZ19" i="24"/>
  <c r="EM5" i="24" s="1"/>
  <c r="DN11" i="22"/>
  <c r="DN15" i="22"/>
  <c r="CV11" i="22"/>
  <c r="CV13" i="22"/>
  <c r="CD11" i="22"/>
  <c r="CD15" i="22"/>
  <c r="EC19" i="22"/>
  <c r="EM11" i="22" s="1"/>
  <c r="EV8" i="22" s="1"/>
  <c r="BL11" i="22"/>
  <c r="AT11" i="22"/>
  <c r="AT15" i="22"/>
  <c r="AT9" i="22"/>
  <c r="ED19" i="22"/>
  <c r="EM13" i="22" s="1"/>
  <c r="EV9" i="22" s="1"/>
  <c r="EH19" i="22"/>
  <c r="EM21" i="22" s="1"/>
  <c r="EV13" i="22" s="1"/>
  <c r="EB19" i="22"/>
  <c r="EM9" i="22" s="1"/>
  <c r="EG19" i="22"/>
  <c r="EM19" i="22" s="1"/>
  <c r="EV12" i="22" s="1"/>
  <c r="AB13" i="22"/>
  <c r="EF19" i="22"/>
  <c r="EM17" i="22" s="1"/>
  <c r="EV11" i="22" s="1"/>
  <c r="EE19" i="22"/>
  <c r="EM15" i="22" s="1"/>
  <c r="EV10" i="22" s="1"/>
  <c r="AB11" i="22"/>
  <c r="DZ19" i="22"/>
  <c r="EM5" i="22" s="1"/>
  <c r="EA19" i="22"/>
  <c r="EM7" i="22" s="1"/>
  <c r="J15" i="22"/>
  <c r="J11" i="22"/>
  <c r="EE19" i="23"/>
  <c r="EM15" i="23" s="1"/>
  <c r="EV10" i="23" s="1"/>
  <c r="EA19" i="23"/>
  <c r="EM7" i="23" s="1"/>
  <c r="EB19" i="23"/>
  <c r="EM9" i="23" s="1"/>
  <c r="EV7" i="23" s="1"/>
  <c r="EG19" i="23"/>
  <c r="EM19" i="23" s="1"/>
  <c r="EC19" i="23"/>
  <c r="EM11" i="23" s="1"/>
  <c r="EF19" i="23"/>
  <c r="EM17" i="23" s="1"/>
  <c r="EV11" i="23" s="1"/>
  <c r="EH19" i="23"/>
  <c r="EM21" i="23" s="1"/>
  <c r="DZ19" i="23"/>
  <c r="EM5" i="23" s="1"/>
  <c r="ED19" i="23"/>
  <c r="EM13" i="23" s="1"/>
  <c r="AT13" i="28"/>
  <c r="DN13" i="28"/>
  <c r="BL15" i="28"/>
  <c r="AB11" i="28"/>
  <c r="BL11" i="28"/>
  <c r="CV11" i="28"/>
  <c r="J15" i="28"/>
  <c r="CD15" i="28"/>
  <c r="J13" i="28"/>
  <c r="CD13" i="28"/>
  <c r="AB15" i="28"/>
  <c r="CV15" i="28"/>
  <c r="AT9" i="28"/>
  <c r="AT11" i="28"/>
  <c r="DN11" i="28"/>
  <c r="BL15" i="27"/>
  <c r="AB11" i="27"/>
  <c r="BL11" i="27"/>
  <c r="CV11" i="27"/>
  <c r="J15" i="27"/>
  <c r="CD15" i="27"/>
  <c r="J13" i="27"/>
  <c r="CD13" i="27"/>
  <c r="AB15" i="27"/>
  <c r="CV15" i="27"/>
  <c r="AT9" i="27"/>
  <c r="AT11" i="27"/>
  <c r="DN11" i="27"/>
  <c r="AT13" i="26"/>
  <c r="DN13" i="26"/>
  <c r="BL15" i="26"/>
  <c r="AB11" i="26"/>
  <c r="BL11" i="26"/>
  <c r="CV11" i="26"/>
  <c r="J15" i="26"/>
  <c r="CD15" i="26"/>
  <c r="J13" i="26"/>
  <c r="CD13" i="26"/>
  <c r="AB15" i="26"/>
  <c r="CV15" i="26"/>
  <c r="AT9" i="26"/>
  <c r="AT11" i="26"/>
  <c r="DN11" i="26"/>
  <c r="AT13" i="25"/>
  <c r="DN13" i="25"/>
  <c r="BL15" i="25"/>
  <c r="AB11" i="25"/>
  <c r="BL11" i="25"/>
  <c r="CV11" i="25"/>
  <c r="J15" i="25"/>
  <c r="CD15" i="25"/>
  <c r="J13" i="25"/>
  <c r="CD13" i="25"/>
  <c r="AB15" i="25"/>
  <c r="CV15" i="25"/>
  <c r="AT9" i="25"/>
  <c r="AT11" i="25"/>
  <c r="DN11" i="25"/>
  <c r="BL15" i="24"/>
  <c r="AB11" i="24"/>
  <c r="BL11" i="24"/>
  <c r="CV11" i="24"/>
  <c r="J15" i="24"/>
  <c r="CD15" i="24"/>
  <c r="J13" i="24"/>
  <c r="CD13" i="24"/>
  <c r="AB15" i="24"/>
  <c r="CV15" i="24"/>
  <c r="AT9" i="24"/>
  <c r="AT11" i="24"/>
  <c r="DN11" i="24"/>
  <c r="AT13" i="23"/>
  <c r="DN13" i="23"/>
  <c r="BL15" i="23"/>
  <c r="AB11" i="23"/>
  <c r="BL11" i="23"/>
  <c r="CV11" i="23"/>
  <c r="J15" i="23"/>
  <c r="CD15" i="23"/>
  <c r="J13" i="23"/>
  <c r="CD13" i="23"/>
  <c r="AB15" i="23"/>
  <c r="CV15" i="23"/>
  <c r="AT9" i="23"/>
  <c r="AT11" i="23"/>
  <c r="DN11" i="23"/>
  <c r="X1" i="10"/>
  <c r="L15" i="10" l="1"/>
  <c r="X11" i="10"/>
  <c r="X19" i="10"/>
  <c r="X15" i="10"/>
  <c r="X9" i="10"/>
  <c r="X7" i="10"/>
  <c r="X21" i="10"/>
  <c r="EI19" i="28"/>
  <c r="EV5" i="28"/>
  <c r="X5" i="10"/>
  <c r="EV11" i="28"/>
  <c r="X17" i="10"/>
  <c r="EV9" i="28"/>
  <c r="F8" i="12"/>
  <c r="X13" i="10"/>
  <c r="R9" i="10"/>
  <c r="O19" i="10"/>
  <c r="R7" i="10"/>
  <c r="R17" i="10"/>
  <c r="R19" i="10"/>
  <c r="EV8" i="27"/>
  <c r="R11" i="10"/>
  <c r="R15" i="10"/>
  <c r="EV13" i="27"/>
  <c r="R21" i="10"/>
  <c r="EV5" i="27"/>
  <c r="R5" i="10"/>
  <c r="EI19" i="27"/>
  <c r="EV9" i="27"/>
  <c r="R13" i="10"/>
  <c r="F6" i="12"/>
  <c r="O11" i="10"/>
  <c r="O9" i="10"/>
  <c r="EV6" i="26"/>
  <c r="O7" i="10"/>
  <c r="O15" i="10"/>
  <c r="EV13" i="26"/>
  <c r="O21" i="10"/>
  <c r="EV5" i="26"/>
  <c r="O5" i="10"/>
  <c r="EV11" i="26"/>
  <c r="O17" i="10"/>
  <c r="EV9" i="26"/>
  <c r="F5" i="12"/>
  <c r="O13" i="10"/>
  <c r="EI19" i="26"/>
  <c r="L19" i="10"/>
  <c r="L7" i="10"/>
  <c r="L11" i="10"/>
  <c r="EV7" i="25"/>
  <c r="L9" i="10"/>
  <c r="EV13" i="25"/>
  <c r="L21" i="10"/>
  <c r="EV5" i="25"/>
  <c r="L5" i="10"/>
  <c r="EI19" i="25"/>
  <c r="EV11" i="25"/>
  <c r="L17" i="10"/>
  <c r="EV9" i="25"/>
  <c r="L13" i="10"/>
  <c r="F4" i="12"/>
  <c r="I13" i="10"/>
  <c r="EV13" i="24"/>
  <c r="I21" i="10"/>
  <c r="I11" i="10"/>
  <c r="I7" i="10"/>
  <c r="EV7" i="24"/>
  <c r="I9" i="10"/>
  <c r="EV12" i="24"/>
  <c r="I19" i="10"/>
  <c r="EV11" i="24"/>
  <c r="I17" i="10"/>
  <c r="EI19" i="24"/>
  <c r="EV10" i="24"/>
  <c r="I15" i="10"/>
  <c r="EV5" i="24"/>
  <c r="I5" i="10"/>
  <c r="F3" i="12"/>
  <c r="F15" i="10"/>
  <c r="F11" i="10"/>
  <c r="F13" i="10"/>
  <c r="F21" i="10"/>
  <c r="EV7" i="22"/>
  <c r="F9" i="10"/>
  <c r="F19" i="10"/>
  <c r="F17" i="10"/>
  <c r="EI19" i="22"/>
  <c r="EV6" i="22"/>
  <c r="F7" i="10"/>
  <c r="F2" i="12"/>
  <c r="EV5" i="22"/>
  <c r="F5" i="10"/>
  <c r="C17" i="10"/>
  <c r="C15" i="10"/>
  <c r="EV6" i="23"/>
  <c r="C7" i="10"/>
  <c r="C9" i="10"/>
  <c r="EV12" i="23"/>
  <c r="C19" i="10"/>
  <c r="EV8" i="23"/>
  <c r="C11" i="10"/>
  <c r="EV13" i="23"/>
  <c r="C21" i="10"/>
  <c r="EV5" i="23"/>
  <c r="C5" i="10"/>
  <c r="EI19" i="23"/>
  <c r="EV9" i="23"/>
  <c r="F1" i="12"/>
  <c r="C13" i="10"/>
  <c r="DX3" i="18"/>
  <c r="EV4" i="18" l="1"/>
  <c r="EU13" i="18"/>
  <c r="EU12" i="18"/>
  <c r="EU11" i="18"/>
  <c r="EU10" i="18"/>
  <c r="EU9" i="18"/>
  <c r="EU8" i="18"/>
  <c r="EU7" i="18"/>
  <c r="EU6" i="18"/>
  <c r="EU5" i="18"/>
  <c r="EH17" i="18" l="1"/>
  <c r="EG17" i="18"/>
  <c r="EF17" i="18"/>
  <c r="EE17" i="18"/>
  <c r="ED17" i="18"/>
  <c r="EC17" i="18"/>
  <c r="EB17" i="18"/>
  <c r="EA17" i="18"/>
  <c r="DZ17" i="18"/>
  <c r="EH15" i="18"/>
  <c r="EG15" i="18"/>
  <c r="EF15" i="18"/>
  <c r="EE15" i="18"/>
  <c r="ED15" i="18"/>
  <c r="EC15" i="18"/>
  <c r="EB15" i="18"/>
  <c r="EA15" i="18"/>
  <c r="DZ15" i="18"/>
  <c r="EH13" i="18"/>
  <c r="EG13" i="18"/>
  <c r="EF13" i="18"/>
  <c r="EE13" i="18"/>
  <c r="ED13" i="18"/>
  <c r="EC13" i="18"/>
  <c r="EB13" i="18"/>
  <c r="EA13" i="18"/>
  <c r="DZ13" i="18"/>
  <c r="EH11" i="18"/>
  <c r="EG11" i="18"/>
  <c r="EF11" i="18"/>
  <c r="EE11" i="18"/>
  <c r="ED11" i="18"/>
  <c r="EC11" i="18"/>
  <c r="EB11" i="18"/>
  <c r="EA11" i="18"/>
  <c r="DZ11" i="18"/>
  <c r="DM11" i="18"/>
  <c r="DN15" i="18" s="1"/>
  <c r="CU11" i="18"/>
  <c r="CV13" i="18" s="1"/>
  <c r="CC11" i="18"/>
  <c r="CD15" i="18" s="1"/>
  <c r="BK11" i="18"/>
  <c r="BL13" i="18" s="1"/>
  <c r="AS11" i="18"/>
  <c r="AT15" i="18" s="1"/>
  <c r="AA11" i="18"/>
  <c r="AB13" i="18" s="1"/>
  <c r="I11" i="18"/>
  <c r="J15" i="18" s="1"/>
  <c r="EH9" i="18"/>
  <c r="EG9" i="18"/>
  <c r="EF9" i="18"/>
  <c r="EE9" i="18"/>
  <c r="ED9" i="18"/>
  <c r="EC9" i="18"/>
  <c r="EB9" i="18"/>
  <c r="EA9" i="18"/>
  <c r="DZ9" i="18"/>
  <c r="EH7" i="18"/>
  <c r="EG7" i="18"/>
  <c r="EF7" i="18"/>
  <c r="EE7" i="18"/>
  <c r="ED7" i="18"/>
  <c r="EC7" i="18"/>
  <c r="EB7" i="18"/>
  <c r="EA7" i="18"/>
  <c r="DZ7" i="18"/>
  <c r="EH5" i="18"/>
  <c r="EG5" i="18"/>
  <c r="EF5" i="18"/>
  <c r="EE5" i="18"/>
  <c r="ED5" i="18"/>
  <c r="EC5" i="18"/>
  <c r="EB5" i="18"/>
  <c r="EA5" i="18"/>
  <c r="DZ5" i="18"/>
  <c r="ED19" i="18" l="1"/>
  <c r="EM13" i="18" s="1"/>
  <c r="U13" i="10" s="1"/>
  <c r="DZ19" i="18"/>
  <c r="EM5" i="18" s="1"/>
  <c r="EV5" i="18" s="1"/>
  <c r="EB19" i="18"/>
  <c r="EM9" i="18" s="1"/>
  <c r="U9" i="10" s="1"/>
  <c r="EF19" i="18"/>
  <c r="EM17" i="18" s="1"/>
  <c r="EV11" i="18" s="1"/>
  <c r="EH19" i="18"/>
  <c r="EM21" i="18" s="1"/>
  <c r="U21" i="10" s="1"/>
  <c r="EA19" i="18"/>
  <c r="EM7" i="18" s="1"/>
  <c r="EC19" i="18"/>
  <c r="EM11" i="18" s="1"/>
  <c r="EE19" i="18"/>
  <c r="EM15" i="18" s="1"/>
  <c r="EG19" i="18"/>
  <c r="EM19" i="18" s="1"/>
  <c r="J13" i="18"/>
  <c r="AT13" i="18"/>
  <c r="CD13" i="18"/>
  <c r="DN13" i="18"/>
  <c r="AB15" i="18"/>
  <c r="BL15" i="18"/>
  <c r="CV15" i="18"/>
  <c r="AT9" i="18"/>
  <c r="J11" i="18"/>
  <c r="AB11" i="18"/>
  <c r="AT11" i="18"/>
  <c r="BL11" i="18"/>
  <c r="CD11" i="18"/>
  <c r="CV11" i="18"/>
  <c r="DN11" i="18"/>
  <c r="W3" i="10"/>
  <c r="T3" i="10"/>
  <c r="Q3" i="10"/>
  <c r="N3" i="10"/>
  <c r="K3" i="10"/>
  <c r="H3" i="10"/>
  <c r="E3" i="10"/>
  <c r="B3" i="10"/>
  <c r="U17" i="10" l="1"/>
  <c r="H8" i="11" s="1"/>
  <c r="EV9" i="18"/>
  <c r="EV7" i="18"/>
  <c r="EV13" i="18"/>
  <c r="U11" i="10"/>
  <c r="H5" i="11" s="1"/>
  <c r="EV8" i="18"/>
  <c r="U15" i="10"/>
  <c r="H7" i="11" s="1"/>
  <c r="EV10" i="18"/>
  <c r="U7" i="10"/>
  <c r="H3" i="11" s="1"/>
  <c r="EV6" i="18"/>
  <c r="U19" i="10"/>
  <c r="H9" i="11" s="1"/>
  <c r="EV12" i="18"/>
  <c r="EI19" i="18"/>
  <c r="F7" i="12"/>
  <c r="U5" i="10"/>
  <c r="H2" i="11" s="1"/>
  <c r="C1" i="11"/>
  <c r="D1" i="11"/>
  <c r="E1" i="11"/>
  <c r="F1" i="11"/>
  <c r="G1" i="11"/>
  <c r="H1" i="11"/>
  <c r="I1" i="11"/>
  <c r="A3" i="11"/>
  <c r="A4" i="11"/>
  <c r="A5" i="11"/>
  <c r="A6" i="11"/>
  <c r="A7" i="11"/>
  <c r="A8" i="11"/>
  <c r="A9" i="11"/>
  <c r="A10" i="11"/>
  <c r="A2" i="11"/>
  <c r="B1" i="11"/>
  <c r="D3" i="11"/>
  <c r="E3" i="11"/>
  <c r="F3" i="11"/>
  <c r="G3" i="11"/>
  <c r="I3" i="11"/>
  <c r="D4" i="11"/>
  <c r="E4" i="11"/>
  <c r="F4" i="11"/>
  <c r="G4" i="11"/>
  <c r="H4" i="11"/>
  <c r="I4" i="11"/>
  <c r="D5" i="11"/>
  <c r="E5" i="11"/>
  <c r="F5" i="11"/>
  <c r="G5" i="11"/>
  <c r="I5" i="11"/>
  <c r="D6" i="11"/>
  <c r="E6" i="11"/>
  <c r="F6" i="11"/>
  <c r="G6" i="11"/>
  <c r="H6" i="11"/>
  <c r="I6" i="11"/>
  <c r="D7" i="11"/>
  <c r="E7" i="11"/>
  <c r="F7" i="11"/>
  <c r="G7" i="11"/>
  <c r="I7" i="11"/>
  <c r="D8" i="11"/>
  <c r="E8" i="11"/>
  <c r="F8" i="11"/>
  <c r="G8" i="11"/>
  <c r="I8" i="11"/>
  <c r="D9" i="11"/>
  <c r="E9" i="11"/>
  <c r="F9" i="11"/>
  <c r="G9" i="11"/>
  <c r="I9" i="11"/>
  <c r="D10" i="11"/>
  <c r="E10" i="11"/>
  <c r="F10" i="11"/>
  <c r="G10" i="11"/>
  <c r="H10" i="11"/>
  <c r="I10" i="11"/>
  <c r="E2" i="11"/>
  <c r="F2" i="11"/>
  <c r="G2" i="11"/>
  <c r="I2" i="11"/>
  <c r="D2" i="11"/>
  <c r="C3" i="11"/>
  <c r="C4" i="11"/>
  <c r="C5" i="11"/>
  <c r="C6" i="11"/>
  <c r="C7" i="11"/>
  <c r="C8" i="11"/>
  <c r="C9" i="11"/>
  <c r="C10" i="11"/>
  <c r="C2" i="11"/>
  <c r="B10" i="11"/>
  <c r="B8" i="11"/>
  <c r="B4" i="11"/>
  <c r="B2" i="11"/>
  <c r="B6" i="11" l="1"/>
  <c r="B5" i="11"/>
  <c r="B7" i="11"/>
  <c r="B9" i="11"/>
  <c r="B3" i="11"/>
</calcChain>
</file>

<file path=xl/sharedStrings.xml><?xml version="1.0" encoding="utf-8"?>
<sst xmlns="http://schemas.openxmlformats.org/spreadsheetml/2006/main" count="1036" uniqueCount="162">
  <si>
    <t>What I Believe I Can Contribute to a Team:</t>
  </si>
  <si>
    <t>I think I can quickly see and take advantage of opportunities.</t>
  </si>
  <si>
    <t>You have ten (10) points to distribute amongst the statements on the left, depending on how much you agree with each of them. Statements you disagree with or are indifferent to will be awarded zero points. You may not give negative points to any statement, nor are you allowed to award fewer than ten points in total. You may distribute points as you wish.</t>
  </si>
  <si>
    <t>I can work well with a very wide range of people.</t>
  </si>
  <si>
    <t>I can usually sense what is realistic and likely to work.</t>
  </si>
  <si>
    <t>My capacity to follow through has much to do with my personal effectiveness.</t>
  </si>
  <si>
    <t>Points Remaining:</t>
  </si>
  <si>
    <t>My ability rests in being able to draw people out whenever I detect they have something of value to contribute to group activities.</t>
  </si>
  <si>
    <t>My technical knowledge and experience is usually my major asset.</t>
  </si>
  <si>
    <t>I can offer a reasoned case for alternative courses of action without introducing bias or prejudice.</t>
  </si>
  <si>
    <t>Producing ideas is one of my natural assets.</t>
  </si>
  <si>
    <t>I am ready to face temporary unpopularity if it leads to worthwhile results in the end.</t>
  </si>
  <si>
    <t>If I Have a Possible Shortcoming in Teamwork, It Could Be That:</t>
  </si>
  <si>
    <t>I am not at ease unless meetings are well structured and controlled and generally well conducted.</t>
  </si>
  <si>
    <t>My objective outlook makes it difficult for me to join in readily and enthusiastically with colleagues.</t>
  </si>
  <si>
    <t>I find it difficult to lead from the front, perhaps because I am over-responsive to group atmosphere.</t>
  </si>
  <si>
    <t>I am apt to get too caught up in ideas that occur to me and so lose track of what is happening.</t>
  </si>
  <si>
    <t>My colleagues tend to see me as worrying unnecessarily over detail and the possibility that things may go wrong.</t>
  </si>
  <si>
    <t>I am sometimes seen as forceful and authoritarian if there is a need to get something done.</t>
  </si>
  <si>
    <t>I am inclined to be generous towards others who have a valid viewpoint that has not been given a proper airing.</t>
  </si>
  <si>
    <t>I am reluctant to contribute unless the subject being discussed deals with an area I know well.</t>
  </si>
  <si>
    <t>I have a tendency to talk too much once the group gets on to new ideas.</t>
  </si>
  <si>
    <t>When Involved in a Project with Other People:</t>
  </si>
  <si>
    <t>I can be counted on to contribute something original.</t>
  </si>
  <si>
    <t>My general vigilance prevents careless mistakes and omissions being made.</t>
  </si>
  <si>
    <t>I have an aptitude for influencing people without pressurizing them.</t>
  </si>
  <si>
    <t>I am keen to look for the latest in new ideas and developments.</t>
  </si>
  <si>
    <t>I try to maintain my sense of professionalism.</t>
  </si>
  <si>
    <t>I believe that my capacity for judgements can help to bring about the right decisions.</t>
  </si>
  <si>
    <t>I am always ready to back a good suggestion in the common interest.</t>
  </si>
  <si>
    <t>I am ready to press for action to make sure the meeting does not waste time or lose sight of the main objective.</t>
  </si>
  <si>
    <t>I can be relied upon to see that all essential work is organized.</t>
  </si>
  <si>
    <t>My Characteristic Approach to Group Work is That:</t>
  </si>
  <si>
    <t>I have a quiet interest in getting to know colleagues better.</t>
  </si>
  <si>
    <t>While I am interested in all views, I have no hesitation in making up my mind once a decision has to be made.</t>
  </si>
  <si>
    <t>I am not reluctant to challenge the views of others or to hold a minority view myself.</t>
  </si>
  <si>
    <t>I think I have a talent for making things work once a plan has to be put into operation.</t>
  </si>
  <si>
    <t>I have a tendency to avoid the obvious and come out with the unexpected.</t>
  </si>
  <si>
    <t>I am ready to make use of contacts outside of the group itself.</t>
  </si>
  <si>
    <t>I bring a touch of perfectionism to any job I undertake.</t>
  </si>
  <si>
    <t>I can usually find a line of argument to refute unsound propositions.</t>
  </si>
  <si>
    <t>I contribute when I know what I'm talking about.</t>
  </si>
  <si>
    <t>I Gain Satisfaction In a Job Because:</t>
  </si>
  <si>
    <t>I enjoy analyzing situations and weighing up all the possible choices.</t>
  </si>
  <si>
    <t>I feel that I am using my special qualifications and training to advantage.</t>
  </si>
  <si>
    <t>I like to find a field that stretches my imagination.</t>
  </si>
  <si>
    <t>I feel in my element when I can give a task my full attention.</t>
  </si>
  <si>
    <t>I am interested in finding practical solutions to problems.</t>
  </si>
  <si>
    <t>I like to feel I am fostering good working relationships.</t>
  </si>
  <si>
    <t>I can meet people who may have something new to offer.</t>
  </si>
  <si>
    <t>I can get people to agree on a necessary course of action.</t>
  </si>
  <si>
    <t>I can have a strong influence on decisions.</t>
  </si>
  <si>
    <t>If I Am Suddenly Given a Difficult Task with Limited Time and Unfamiliar People:</t>
  </si>
  <si>
    <t>I tend to read up as much as I conveniently can on the subject.</t>
  </si>
  <si>
    <t>I would retain a steadiness of purpose in spite of the pressures.</t>
  </si>
  <si>
    <t>I would open up discussions with a view to stimulating new thoughts and getting something moving.</t>
  </si>
  <si>
    <t>I believe that I would keep cool and maintain my capacity to think straight.</t>
  </si>
  <si>
    <t>I would find some way of reducing the size of the task by establishing what different individuals might best contribute.</t>
  </si>
  <si>
    <t>I would feel like retiring to a corner to devise a way out of the impasse before developing a line.</t>
  </si>
  <si>
    <t>I would be prepared to take a positive lead if I felt the group was making no progress.</t>
  </si>
  <si>
    <t>My natural sense of urgency would help ensure that we did not fall behind schedule.</t>
  </si>
  <si>
    <t>I would be ready to work with the person who showed the most positive approach.</t>
  </si>
  <si>
    <t>With Reference to the Problems to Which I Am Subject in Working in Groups:</t>
  </si>
  <si>
    <t>I am apt to show my impatience with those who are obstructing progress.</t>
  </si>
  <si>
    <t>I hesitate to get my points across when I run up against real opposition.</t>
  </si>
  <si>
    <t>I am inclined to feel I am wasting my time and would do better on my own.</t>
  </si>
  <si>
    <t>I am conscious of demanding from others the things I cannot do myself.</t>
  </si>
  <si>
    <t>I am tend to get bored rather easily and rely on one or two stimulating members to spark me off.</t>
  </si>
  <si>
    <t>My desire to ensure that work is properly done can hold up proceedings.</t>
  </si>
  <si>
    <t>Others may criticise me for being too analytical and insufficiently intuitive.</t>
  </si>
  <si>
    <t>I find it difficult to get started unless the goals are clear.</t>
  </si>
  <si>
    <t>I am sometimes poor at explaining and clarifying complex points that occur to me.</t>
  </si>
  <si>
    <t>Section</t>
  </si>
  <si>
    <t>Total</t>
  </si>
  <si>
    <t>I</t>
  </si>
  <si>
    <t>II</t>
  </si>
  <si>
    <t>III</t>
  </si>
  <si>
    <t>IV</t>
  </si>
  <si>
    <t>V</t>
  </si>
  <si>
    <t>VI</t>
  </si>
  <si>
    <t>VII</t>
  </si>
  <si>
    <t>Roles</t>
  </si>
  <si>
    <t>Implementor</t>
  </si>
  <si>
    <t>Coordinator</t>
  </si>
  <si>
    <t>Shaper</t>
  </si>
  <si>
    <t>Plant</t>
  </si>
  <si>
    <t>Resource Investigator</t>
  </si>
  <si>
    <t>Monitor Evaluator</t>
  </si>
  <si>
    <t>Team Worker</t>
  </si>
  <si>
    <t>Complete Finisher</t>
  </si>
  <si>
    <t>Specialist</t>
  </si>
  <si>
    <t>Role</t>
  </si>
  <si>
    <t>Group member</t>
  </si>
  <si>
    <t>Project number</t>
  </si>
  <si>
    <t>Group members</t>
  </si>
  <si>
    <t xml:space="preserve">Team Role </t>
  </si>
  <si>
    <t>Description</t>
  </si>
  <si>
    <t xml:space="preserve">Team Role Contribution </t>
  </si>
  <si>
    <t>Chariteristics</t>
  </si>
  <si>
    <t>Allowable Weaknesses</t>
  </si>
  <si>
    <t xml:space="preserve">Plant </t>
  </si>
  <si>
    <t>As a team role, specifies advancing new ideas and strategies with special attention to major issues; and looking for possible breaks in approach to the problems with which the team is confined.</t>
  </si>
  <si>
    <t xml:space="preserve">Creative, imaginative, free-thinking.Generates ideas and solves difficult problems. </t>
  </si>
  <si>
    <t>- intelligent, 
- generator of ideas, 
- radical thinker, 
- may not like being criticised.</t>
  </si>
  <si>
    <t xml:space="preserve">May ignore incidentals. </t>
  </si>
  <si>
    <t xml:space="preserve">Can be too preoccupied with own thoughts to communicate effectively. </t>
  </si>
  <si>
    <t>As a team role, specifies exploring and reporting on ideas, developments and resources outside the team. Creating external contacts that may be useful to the team and conducting any subsequent negotiations.</t>
  </si>
  <si>
    <r>
      <t xml:space="preserve">Outgoing, enthusiastic, communicative. Explores </t>
    </r>
    <r>
      <rPr>
        <sz val="11"/>
        <color theme="1"/>
        <rFont val="Calibri"/>
        <family val="2"/>
        <scheme val="minor"/>
      </rPr>
      <t>opportunities and develops contacts.</t>
    </r>
  </si>
  <si>
    <t>- relaxed likeable person, 
- lots of contacts, 
- a diplomat in touch with the world outside the organisation.</t>
  </si>
  <si>
    <t>Over-optimistic.</t>
  </si>
  <si>
    <t xml:space="preserve">Can lose interest once initial enthusiasm has passed. </t>
  </si>
  <si>
    <t>Co-ordinator</t>
  </si>
  <si>
    <t>As a team role this specifies controlling the way in which a team moves towards the team objectives by making the best use of team resources recognising where the team’s strengths and weaknesses are: ensuring that the best use is made of each team members’ potential.</t>
  </si>
  <si>
    <t>Mature and confident.</t>
  </si>
  <si>
    <t>- clarifies team’s role objectives and agenda, 
- social leader, 
- dominant but not aggressive,
- extrovert.</t>
  </si>
  <si>
    <t>Can be seen as manipulative.</t>
  </si>
  <si>
    <t>Identifies talent and clarifies goals.</t>
  </si>
  <si>
    <t>May offload own share of the work.</t>
  </si>
  <si>
    <t>Delegates effectively.</t>
  </si>
  <si>
    <t>As a team role specifies shaping in the way in which team effort is applied; directing attention to things such as the setting of objectives and priorities; and seeking to improve some shape or pattern on a group discussion and on the outcome of group activities.</t>
  </si>
  <si>
    <t xml:space="preserve">Challenging, dynamic, thrives on pressure. Has the drive and energy to overcome obstacles. </t>
  </si>
  <si>
    <t>- anxious, 
- dominant, 
- extravert, 
- task leader who shapes the team’s efforts, 
- impulsive and impatient, 
- quick to challenge, 
- quick to respond to challenges.</t>
  </si>
  <si>
    <t>Prone to provocation.</t>
  </si>
  <si>
    <t xml:space="preserve">Can offend people's feelings. </t>
  </si>
  <si>
    <t>As a team role, specifies analysing problems; and evaluating ideas so that the team is better placed to take balanced decisions.</t>
  </si>
  <si>
    <t>Serious minded, strategic and discerning. Sees all options and judges accurately.</t>
  </si>
  <si>
    <t>- serious, 
- can be overly negative, 
- dispassionate, 
- stable introvert in a balanced team.</t>
  </si>
  <si>
    <t>Can lack drive and ability to inspire others.</t>
  </si>
  <si>
    <t>Can be overly critical.</t>
  </si>
  <si>
    <t>Teamworker</t>
  </si>
  <si>
    <t>As a team role, specifies supporting members in their strengths (such as for building on a suggestion), underpinning members in their shortcomings, improving communications between members and fostering team spirit generally.</t>
  </si>
  <si>
    <t>Co-operative, perceptive and diplomatic. Listens, builds morale and averts friction.</t>
  </si>
  <si>
    <t>- cement of the team, 
- likeable and popular, 
- good listener and communicates freely, 
- encourages others, 
- does not like confrontation.</t>
  </si>
  <si>
    <t>Can be indecisive in crunch situations.</t>
  </si>
  <si>
    <t>May avoid confrontation.</t>
  </si>
  <si>
    <t>Implementer</t>
  </si>
  <si>
    <t>As a team role, specifies turning concepts and plans into practical working procedures; and carrying out agreed plans systematically and efficiently.</t>
  </si>
  <si>
    <t>Disciplined, reliable, conservative in habits. A capacity for taking practical steps and actions.</t>
  </si>
  <si>
    <t>- practical organiser, 
- turns ideas into tasks, 
- not easily discouraged, 
- needs stable structures.</t>
  </si>
  <si>
    <t>Somewhat inflexible.</t>
  </si>
  <si>
    <t>Can be slow to respond to new possibilities.</t>
  </si>
  <si>
    <t>Completer Finisher</t>
  </si>
  <si>
    <t>As a team role, specifies ensuring that the team is protected as far as possible from mistakes and both commission and omission; actively searching for aspects of work which need a more than usual degree of attention; and maintaining a sense of urgency within the team.</t>
  </si>
  <si>
    <t>Conscientious and accurate. Searches out errors.</t>
  </si>
  <si>
    <t>- anxious, 
- introvert, 
- intolerant, 
- only likely to relax when all details have been checked.</t>
  </si>
  <si>
    <t>Inclined to worry unduly.</t>
  </si>
  <si>
    <t>Polishes and perfects.</t>
  </si>
  <si>
    <t>Reluctant to delegate.</t>
  </si>
  <si>
    <t>As a team role, the specifics, the provision of specific knowledge and of skills which other team members do not possess.</t>
  </si>
  <si>
    <t>Single-minded, self-starting, dedicated. Provides in-depth knowledge and skills in short supply.</t>
  </si>
  <si>
    <t>- high degree of expertise in their own field, 
- narrowly focused on own area of skills and knowledge, 
- less interested in broader issues or ‘the big picture’, 
- can be a bit of a law unto themselves.</t>
  </si>
  <si>
    <t>May contribute only on a narrow front.</t>
  </si>
  <si>
    <t>Dwells on technicalities.</t>
  </si>
  <si>
    <t>Outgoing, enthusiastic, communicative. Explores opportunities and develops contacts.</t>
  </si>
  <si>
    <r>
      <rPr>
        <b/>
        <sz val="10"/>
        <color theme="3"/>
        <rFont val="Arial"/>
        <family val="2"/>
      </rPr>
      <t xml:space="preserve">Section
</t>
    </r>
    <r>
      <rPr>
        <b/>
        <sz val="14"/>
        <color theme="3"/>
        <rFont val="Arial"/>
        <family val="2"/>
      </rPr>
      <t>I</t>
    </r>
  </si>
  <si>
    <r>
      <rPr>
        <b/>
        <sz val="10"/>
        <color theme="3"/>
        <rFont val="Arial"/>
        <family val="2"/>
      </rPr>
      <t xml:space="preserve">Section
</t>
    </r>
    <r>
      <rPr>
        <b/>
        <sz val="14"/>
        <color theme="3"/>
        <rFont val="Arial"/>
        <family val="2"/>
      </rPr>
      <t>II</t>
    </r>
  </si>
  <si>
    <r>
      <rPr>
        <b/>
        <sz val="10"/>
        <color theme="3"/>
        <rFont val="Arial"/>
        <family val="2"/>
      </rPr>
      <t xml:space="preserve">Section
</t>
    </r>
    <r>
      <rPr>
        <b/>
        <sz val="14"/>
        <color theme="3"/>
        <rFont val="Arial"/>
        <family val="2"/>
      </rPr>
      <t>III</t>
    </r>
  </si>
  <si>
    <r>
      <rPr>
        <b/>
        <sz val="10"/>
        <color theme="3"/>
        <rFont val="Arial"/>
        <family val="2"/>
      </rPr>
      <t xml:space="preserve">Section
</t>
    </r>
    <r>
      <rPr>
        <b/>
        <sz val="14"/>
        <color theme="3"/>
        <rFont val="Arial"/>
        <family val="2"/>
      </rPr>
      <t>IV</t>
    </r>
  </si>
  <si>
    <r>
      <rPr>
        <b/>
        <sz val="10"/>
        <color theme="3"/>
        <rFont val="Arial"/>
        <family val="2"/>
      </rPr>
      <t xml:space="preserve">Section
</t>
    </r>
    <r>
      <rPr>
        <b/>
        <sz val="14"/>
        <color theme="3"/>
        <rFont val="Arial"/>
        <family val="2"/>
      </rPr>
      <t>V</t>
    </r>
  </si>
  <si>
    <r>
      <rPr>
        <b/>
        <sz val="10"/>
        <color theme="3"/>
        <rFont val="Arial"/>
        <family val="2"/>
      </rPr>
      <t xml:space="preserve">Section
</t>
    </r>
    <r>
      <rPr>
        <b/>
        <sz val="14"/>
        <color theme="3"/>
        <rFont val="Arial"/>
        <family val="2"/>
      </rPr>
      <t>VI</t>
    </r>
  </si>
  <si>
    <r>
      <rPr>
        <b/>
        <sz val="10"/>
        <color theme="3"/>
        <rFont val="Arial"/>
        <family val="2"/>
      </rPr>
      <t xml:space="preserve">Section
</t>
    </r>
    <r>
      <rPr>
        <b/>
        <sz val="14"/>
        <color theme="3"/>
        <rFont val="Arial"/>
        <family val="2"/>
      </rPr>
      <t>VII</t>
    </r>
  </si>
  <si>
    <t>SON CAO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</si>
</sst>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x14ac:knownFonts="1">
    <font>
      <sz val="11"/>
      <color theme="1"/>
      <name val="Calibri"/>
      <family val="2"/>
      <scheme val="minor"/>
    </font>
    <font>
      <sz val="10"/>
      <name val="Arial"/>
      <family val="2"/>
    </font>
    <font>
      <u/>
      <sz val="10"/>
      <color indexed="12"/>
      <name val="Arial"/>
      <family val="2"/>
    </font>
    <font>
      <sz val="10"/>
      <color theme="3"/>
      <name val="Arial"/>
      <family val="2"/>
    </font>
    <font>
      <b/>
      <sz val="14"/>
      <color theme="3"/>
      <name val="Arial"/>
      <family val="2"/>
    </font>
    <font>
      <sz val="11"/>
      <color theme="3"/>
      <name val="Calibri"/>
      <family val="2"/>
      <scheme val="minor"/>
    </font>
    <font>
      <b/>
      <sz val="10"/>
      <color theme="3"/>
      <name val="Arial"/>
      <family val="2"/>
    </font>
    <font>
      <u/>
      <sz val="10"/>
      <color theme="3"/>
      <name val="Arial"/>
      <family val="2"/>
    </font>
    <font>
      <sz val="10"/>
      <color theme="0" tint="-0.249977111117893"/>
      <name val="Arial"/>
      <family val="2"/>
    </font>
    <font>
      <b/>
      <sz val="10"/>
      <color rgb="FFFF0000"/>
      <name val="Arial"/>
      <family val="2"/>
    </font>
    <font>
      <b/>
      <sz val="8"/>
      <color theme="3"/>
      <name val="Calibri"/>
      <family val="2"/>
      <scheme val="minor"/>
    </font>
    <font>
      <b/>
      <sz val="11"/>
      <color theme="3"/>
      <name val="Arial"/>
      <family val="2"/>
    </font>
    <font>
      <b/>
      <sz val="11"/>
      <color theme="0"/>
      <name val="Calibri"/>
      <family val="2"/>
      <scheme val="minor"/>
    </font>
    <font>
      <sz val="11"/>
      <color theme="0"/>
      <name val="Calibri"/>
      <family val="2"/>
      <scheme val="minor"/>
    </font>
    <font>
      <sz val="10"/>
      <color rgb="FFFF0000"/>
      <name val="Arial"/>
      <family val="2"/>
    </font>
    <font>
      <b/>
      <sz val="12"/>
      <color theme="3"/>
      <name val="Arial"/>
      <family val="2"/>
    </font>
    <font>
      <b/>
      <sz val="14"/>
      <color theme="3"/>
      <name val="Calibri"/>
      <family val="2"/>
      <scheme val="minor"/>
    </font>
    <font>
      <sz val="11"/>
      <color theme="3" tint="-0.499984740745262"/>
      <name val="Calibri"/>
      <family val="2"/>
      <scheme val="minor"/>
    </font>
    <font>
      <b/>
      <sz val="11"/>
      <color theme="3" tint="-0.499984740745262"/>
      <name val="Calibri"/>
      <family val="2"/>
      <scheme val="minor"/>
    </font>
    <font>
      <b/>
      <sz val="14"/>
      <color theme="0"/>
      <name val="Calibri"/>
      <family val="2"/>
      <scheme val="minor"/>
    </font>
    <font>
      <sz val="10"/>
      <color theme="3"/>
      <name val="Calibri"/>
      <family val="2"/>
      <scheme val="minor"/>
    </font>
    <font>
      <b/>
      <sz val="11"/>
      <color theme="3"/>
      <name val="Calibri"/>
      <family val="2"/>
      <scheme val="minor"/>
    </font>
    <font>
      <b/>
      <sz val="11"/>
      <color theme="1"/>
      <name val="Calibri"/>
      <family val="2"/>
      <scheme val="minor"/>
    </font>
    <font>
      <sz val="11"/>
      <color theme="3"/>
      <name val="Arial"/>
      <family val="2"/>
    </font>
    <font>
      <b/>
      <sz val="12"/>
      <color theme="3"/>
      <name val="Calibri"/>
      <family val="2"/>
      <scheme val="minor"/>
    </font>
    <font>
      <sz val="12"/>
      <color theme="3"/>
      <name val="Calibri"/>
      <family val="2"/>
      <scheme val="minor"/>
    </font>
    <font>
      <b/>
      <sz val="11"/>
      <color theme="0"/>
      <name val="Arial"/>
      <family val="2"/>
    </font>
    <font>
      <b/>
      <sz val="9"/>
      <color theme="3"/>
      <name val="Arial"/>
      <family val="2"/>
    </font>
    <font>
      <b/>
      <sz val="10"/>
      <color theme="3"/>
      <name val="Calibri"/>
      <family val="2"/>
      <scheme val="minor"/>
    </font>
    <font>
      <b/>
      <sz val="9"/>
      <color theme="3"/>
      <name val="Calibri"/>
      <family val="2"/>
      <scheme val="minor"/>
    </font>
    <font>
      <sz val="9"/>
      <color theme="3"/>
      <name val="Calibri"/>
      <family val="2"/>
      <scheme val="minor"/>
    </font>
    <font>
      <b/>
      <sz val="9"/>
      <color rgb="FFFF0000"/>
      <name val="Calibri"/>
      <family val="2"/>
      <scheme val="minor"/>
    </font>
    <font>
      <sz val="9"/>
      <color rgb="FFFF0000"/>
      <name val="Calibri"/>
      <family val="2"/>
      <scheme val="minor"/>
    </font>
    <font>
      <b/>
      <sz val="9"/>
      <color theme="0"/>
      <name val="Calibri"/>
      <family val="2"/>
      <scheme val="minor"/>
    </font>
    <font>
      <b/>
      <sz val="9"/>
      <color theme="3" tint="-0.499984740745262"/>
      <name val="Calibri"/>
      <family val="2"/>
      <scheme val="minor"/>
    </font>
  </fonts>
  <fills count="16">
    <fill>
      <patternFill patternType="none"/>
    </fill>
    <fill>
      <patternFill patternType="gray125"/>
    </fill>
    <fill>
      <patternFill patternType="solid">
        <fgColor theme="0" tint="-0.249977111117893"/>
        <bgColor indexed="63"/>
      </patternFill>
    </fill>
    <fill>
      <patternFill patternType="solid">
        <fgColor theme="0"/>
        <bgColor indexed="63"/>
      </patternFill>
    </fill>
    <fill>
      <patternFill patternType="solid">
        <fgColor theme="0" tint="-0.249977111117893"/>
        <bgColor indexed="64"/>
      </patternFill>
    </fill>
    <fill>
      <patternFill patternType="solid">
        <fgColor theme="3"/>
        <bgColor indexed="64"/>
      </patternFill>
    </fill>
    <fill>
      <patternFill patternType="solid">
        <fgColor rgb="FFFF0000"/>
        <bgColor indexed="64"/>
      </patternFill>
    </fill>
    <fill>
      <patternFill patternType="solid">
        <fgColor theme="0" tint="-0.14999847407452621"/>
        <bgColor indexed="64"/>
      </patternFill>
    </fill>
    <fill>
      <patternFill patternType="solid">
        <fgColor theme="3" tint="-0.499984740745262"/>
        <bgColor indexed="64"/>
      </patternFill>
    </fill>
    <fill>
      <patternFill patternType="solid">
        <fgColor theme="5" tint="-0.499984740745262"/>
        <bgColor indexed="64"/>
      </patternFill>
    </fill>
    <fill>
      <patternFill patternType="solid">
        <fgColor rgb="FFFFC000"/>
        <bgColor indexed="64"/>
      </patternFill>
    </fill>
    <fill>
      <patternFill patternType="solid">
        <fgColor theme="9"/>
        <bgColor indexed="64"/>
      </patternFill>
    </fill>
    <fill>
      <patternFill patternType="solid">
        <fgColor rgb="FF008000"/>
        <bgColor indexed="64"/>
      </patternFill>
    </fill>
    <fill>
      <patternFill patternType="solid">
        <fgColor theme="6"/>
        <bgColor indexed="64"/>
      </patternFill>
    </fill>
    <fill>
      <patternFill patternType="solid">
        <fgColor theme="4"/>
        <bgColor indexed="64"/>
      </patternFill>
    </fill>
    <fill>
      <patternFill patternType="solid">
        <fgColor theme="0"/>
        <bgColor indexed="64"/>
      </patternFill>
    </fill>
  </fills>
  <borders count="24">
    <border>
      <left/>
      <right/>
      <top/>
      <bottom/>
      <diagonal/>
    </border>
    <border>
      <left style="thick">
        <color indexed="22"/>
      </left>
      <right style="thick">
        <color indexed="22"/>
      </right>
      <top style="thick">
        <color indexed="22"/>
      </top>
      <bottom style="thick">
        <color indexed="22"/>
      </bottom>
      <diagonal/>
    </border>
    <border>
      <left style="thin">
        <color theme="3"/>
      </left>
      <right/>
      <top style="thin">
        <color theme="3"/>
      </top>
      <bottom style="thin">
        <color theme="3"/>
      </bottom>
      <diagonal/>
    </border>
    <border>
      <left/>
      <right/>
      <top style="thin">
        <color theme="3"/>
      </top>
      <bottom style="thin">
        <color theme="3"/>
      </bottom>
      <diagonal/>
    </border>
    <border>
      <left/>
      <right style="thin">
        <color theme="3"/>
      </right>
      <top style="thin">
        <color theme="3"/>
      </top>
      <bottom style="thin">
        <color theme="3"/>
      </bottom>
      <diagonal/>
    </border>
    <border>
      <left style="thin">
        <color theme="3"/>
      </left>
      <right style="thin">
        <color theme="3"/>
      </right>
      <top style="thin">
        <color theme="3"/>
      </top>
      <bottom style="thin">
        <color theme="3"/>
      </bottom>
      <diagonal/>
    </border>
    <border>
      <left/>
      <right/>
      <top style="thin">
        <color theme="0"/>
      </top>
      <bottom style="thin">
        <color theme="3"/>
      </bottom>
      <diagonal/>
    </border>
    <border>
      <left style="thin">
        <color theme="3"/>
      </left>
      <right/>
      <top style="thin">
        <color theme="0"/>
      </top>
      <bottom style="thin">
        <color theme="3"/>
      </bottom>
      <diagonal/>
    </border>
    <border>
      <left/>
      <right/>
      <top style="thin">
        <color theme="0"/>
      </top>
      <bottom style="thin">
        <color theme="0"/>
      </bottom>
      <diagonal/>
    </border>
    <border>
      <left style="thin">
        <color theme="3"/>
      </left>
      <right/>
      <top style="thin">
        <color theme="0"/>
      </top>
      <bottom style="thin">
        <color theme="0"/>
      </bottom>
      <diagonal/>
    </border>
    <border>
      <left style="thin">
        <color theme="0"/>
      </left>
      <right style="thin">
        <color theme="0"/>
      </right>
      <top style="thin">
        <color theme="3"/>
      </top>
      <bottom style="thin">
        <color theme="3"/>
      </bottom>
      <diagonal/>
    </border>
    <border>
      <left/>
      <right style="thin">
        <color theme="0"/>
      </right>
      <top style="thin">
        <color theme="3"/>
      </top>
      <bottom style="thin">
        <color theme="3"/>
      </bottom>
      <diagonal/>
    </border>
    <border>
      <left/>
      <right/>
      <top style="thin">
        <color theme="3"/>
      </top>
      <bottom style="thin">
        <color theme="0"/>
      </bottom>
      <diagonal/>
    </border>
    <border>
      <left style="thin">
        <color theme="3"/>
      </left>
      <right/>
      <top style="thin">
        <color theme="3"/>
      </top>
      <bottom style="thin">
        <color theme="0"/>
      </bottom>
      <diagonal/>
    </border>
    <border>
      <left style="thin">
        <color theme="3"/>
      </left>
      <right style="thin">
        <color theme="3"/>
      </right>
      <top style="thin">
        <color theme="3"/>
      </top>
      <bottom/>
      <diagonal/>
    </border>
    <border>
      <left style="thin">
        <color theme="3"/>
      </left>
      <right style="thin">
        <color theme="3"/>
      </right>
      <top/>
      <bottom/>
      <diagonal/>
    </border>
    <border>
      <left style="thin">
        <color theme="3"/>
      </left>
      <right style="thin">
        <color theme="3"/>
      </right>
      <top/>
      <bottom style="thin">
        <color theme="3"/>
      </bottom>
      <diagonal/>
    </border>
    <border>
      <left style="thin">
        <color rgb="FF000000"/>
      </left>
      <right style="thin">
        <color rgb="FF000000"/>
      </right>
      <top style="thin">
        <color rgb="FF000000"/>
      </top>
      <bottom/>
      <diagonal/>
    </border>
    <border>
      <left style="thin">
        <color theme="0"/>
      </left>
      <right style="thin">
        <color theme="0"/>
      </right>
      <top style="thin">
        <color theme="0"/>
      </top>
      <bottom style="thin">
        <color theme="0"/>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right/>
      <top/>
      <bottom style="thin">
        <color theme="3"/>
      </bottom>
      <diagonal/>
    </border>
    <border>
      <left/>
      <right/>
      <top style="thin">
        <color theme="3"/>
      </top>
      <bottom/>
      <diagonal/>
    </border>
  </borders>
  <cellStyleXfs count="3">
    <xf numFmtId="0" fontId="0" fillId="0" borderId="0"/>
    <xf numFmtId="0" fontId="1" fillId="0" borderId="0"/>
    <xf numFmtId="0" fontId="2" fillId="0" borderId="0" applyNumberFormat="0" applyFill="0" applyBorder="0" applyAlignment="0" applyProtection="0">
      <alignment vertical="top"/>
      <protection locked="0"/>
    </xf>
  </cellStyleXfs>
  <cellXfs count="193">
    <xf numFmtId="0" fontId="0" fillId="0" borderId="0" xfId="0"/>
    <xf numFmtId="0" fontId="3" fillId="2" borderId="0" xfId="1" applyFont="1" applyFill="1" applyAlignment="1">
      <alignment wrapText="1"/>
    </xf>
    <xf numFmtId="0" fontId="4" fillId="2" borderId="0" xfId="1" applyFont="1" applyFill="1" applyAlignment="1">
      <alignment horizontal="center" vertical="center"/>
    </xf>
    <xf numFmtId="0" fontId="3" fillId="2" borderId="0" xfId="1" applyFont="1" applyFill="1"/>
    <xf numFmtId="0" fontId="5" fillId="2" borderId="0" xfId="0" applyFont="1" applyFill="1"/>
    <xf numFmtId="0" fontId="5" fillId="2" borderId="0" xfId="0" applyFont="1" applyFill="1" applyAlignment="1">
      <alignment wrapText="1"/>
    </xf>
    <xf numFmtId="0" fontId="4" fillId="2" borderId="0" xfId="0" applyFont="1" applyFill="1" applyAlignment="1">
      <alignment horizontal="center" vertical="center"/>
    </xf>
    <xf numFmtId="0" fontId="4" fillId="2" borderId="0" xfId="1" applyFont="1" applyFill="1" applyAlignment="1">
      <alignment vertical="center" wrapText="1"/>
    </xf>
    <xf numFmtId="0" fontId="6" fillId="2" borderId="0" xfId="1" applyFont="1" applyFill="1" applyAlignment="1">
      <alignment vertical="center" wrapText="1"/>
    </xf>
    <xf numFmtId="0" fontId="6" fillId="2" borderId="0" xfId="1" applyFont="1" applyFill="1" applyAlignment="1">
      <alignment vertical="center"/>
    </xf>
    <xf numFmtId="0" fontId="6" fillId="2" borderId="0" xfId="0" applyFont="1" applyFill="1" applyAlignment="1">
      <alignment vertical="center"/>
    </xf>
    <xf numFmtId="0" fontId="4" fillId="2" borderId="0" xfId="0" applyFont="1" applyFill="1" applyAlignment="1">
      <alignment vertical="center" wrapText="1"/>
    </xf>
    <xf numFmtId="0" fontId="6" fillId="2" borderId="0" xfId="0" applyFont="1" applyFill="1" applyAlignment="1">
      <alignment vertical="center" wrapText="1"/>
    </xf>
    <xf numFmtId="0" fontId="6" fillId="2" borderId="0" xfId="0" applyFont="1" applyFill="1"/>
    <xf numFmtId="0" fontId="6" fillId="2" borderId="0" xfId="0" applyFont="1" applyFill="1" applyAlignment="1">
      <alignment wrapText="1"/>
    </xf>
    <xf numFmtId="0" fontId="3" fillId="2" borderId="0" xfId="0" applyFont="1" applyFill="1" applyAlignment="1">
      <alignment wrapText="1"/>
    </xf>
    <xf numFmtId="0" fontId="3" fillId="2" borderId="0" xfId="1" applyFont="1" applyFill="1" applyAlignment="1">
      <alignment vertical="center" wrapText="1"/>
    </xf>
    <xf numFmtId="0" fontId="3" fillId="2" borderId="0" xfId="1" applyFont="1" applyFill="1" applyAlignment="1">
      <alignment vertical="center"/>
    </xf>
    <xf numFmtId="0" fontId="5" fillId="2" borderId="0" xfId="0" applyFont="1" applyFill="1" applyAlignment="1">
      <alignment vertical="center"/>
    </xf>
    <xf numFmtId="0" fontId="3" fillId="2" borderId="0" xfId="0" applyFont="1" applyFill="1" applyAlignment="1">
      <alignment vertical="center" wrapText="1"/>
    </xf>
    <xf numFmtId="0" fontId="3" fillId="2" borderId="0" xfId="0" applyFont="1" applyFill="1" applyAlignment="1">
      <alignment vertical="center"/>
    </xf>
    <xf numFmtId="0" fontId="3" fillId="2" borderId="0" xfId="0" applyFont="1" applyFill="1"/>
    <xf numFmtId="0" fontId="4" fillId="3" borderId="1" xfId="1" applyFont="1" applyFill="1" applyBorder="1" applyAlignment="1">
      <alignment horizontal="center" vertical="center"/>
    </xf>
    <xf numFmtId="0" fontId="4" fillId="3" borderId="1" xfId="0" applyFont="1" applyFill="1" applyBorder="1" applyAlignment="1">
      <alignment horizontal="center" vertical="center"/>
    </xf>
    <xf numFmtId="0" fontId="0" fillId="4" borderId="0" xfId="0" applyFill="1"/>
    <xf numFmtId="0" fontId="1" fillId="2" borderId="0" xfId="1" applyFill="1"/>
    <xf numFmtId="0" fontId="1" fillId="2" borderId="0" xfId="1" applyFill="1" applyAlignment="1">
      <alignment vertical="center"/>
    </xf>
    <xf numFmtId="0" fontId="5" fillId="4" borderId="0" xfId="0" applyFont="1" applyFill="1"/>
    <xf numFmtId="0" fontId="8" fillId="2" borderId="0" xfId="1" applyFont="1" applyFill="1"/>
    <xf numFmtId="0" fontId="12" fillId="8" borderId="7" xfId="0" applyFont="1" applyFill="1" applyBorder="1" applyAlignment="1">
      <alignment horizontal="center" vertical="center"/>
    </xf>
    <xf numFmtId="0" fontId="12" fillId="9" borderId="8" xfId="0" applyFont="1" applyFill="1" applyBorder="1" applyAlignment="1">
      <alignment horizontal="center" vertical="center"/>
    </xf>
    <xf numFmtId="0" fontId="18" fillId="10" borderId="9" xfId="0" applyFont="1" applyFill="1" applyBorder="1" applyAlignment="1">
      <alignment horizontal="center" vertical="center"/>
    </xf>
    <xf numFmtId="0" fontId="18" fillId="11" borderId="9" xfId="0" applyFont="1" applyFill="1" applyBorder="1" applyAlignment="1">
      <alignment horizontal="center" vertical="center"/>
    </xf>
    <xf numFmtId="0" fontId="12" fillId="12" borderId="9" xfId="0" applyFont="1" applyFill="1" applyBorder="1" applyAlignment="1">
      <alignment horizontal="center" vertical="center"/>
    </xf>
    <xf numFmtId="0" fontId="18" fillId="6" borderId="9" xfId="0" applyFont="1" applyFill="1" applyBorder="1" applyAlignment="1">
      <alignment horizontal="center" vertical="center"/>
    </xf>
    <xf numFmtId="0" fontId="18" fillId="13" borderId="9" xfId="0" applyFont="1" applyFill="1" applyBorder="1" applyAlignment="1">
      <alignment horizontal="center" vertical="center"/>
    </xf>
    <xf numFmtId="0" fontId="18" fillId="14" borderId="13" xfId="0" applyFont="1" applyFill="1" applyBorder="1" applyAlignment="1">
      <alignment horizontal="center" vertical="center"/>
    </xf>
    <xf numFmtId="0" fontId="13" fillId="0" borderId="0" xfId="0" applyFont="1"/>
    <xf numFmtId="0" fontId="13" fillId="0" borderId="14" xfId="0" applyFont="1" applyBorder="1" applyAlignment="1">
      <alignment horizontal="right" vertical="center"/>
    </xf>
    <xf numFmtId="0" fontId="13" fillId="0" borderId="15" xfId="0" applyFont="1" applyBorder="1" applyAlignment="1">
      <alignment horizontal="right" vertical="center"/>
    </xf>
    <xf numFmtId="0" fontId="13" fillId="0" borderId="16" xfId="0" applyFont="1" applyBorder="1" applyAlignment="1">
      <alignment horizontal="right" vertical="center"/>
    </xf>
    <xf numFmtId="0" fontId="4" fillId="3" borderId="1" xfId="1" applyFont="1" applyFill="1" applyBorder="1" applyAlignment="1" applyProtection="1">
      <alignment horizontal="center" vertical="center"/>
      <protection locked="0"/>
    </xf>
    <xf numFmtId="0" fontId="4" fillId="2" borderId="0" xfId="1" applyFont="1" applyFill="1" applyAlignment="1" applyProtection="1">
      <alignment horizontal="center" vertical="center"/>
      <protection locked="0"/>
    </xf>
    <xf numFmtId="0" fontId="22" fillId="0" borderId="17" xfId="0" applyFont="1" applyBorder="1" applyAlignment="1">
      <alignment horizontal="center" vertical="center" wrapText="1"/>
    </xf>
    <xf numFmtId="0" fontId="0" fillId="7" borderId="18" xfId="0" applyFill="1" applyBorder="1" applyAlignment="1">
      <alignment horizontal="left" vertical="center" wrapText="1"/>
    </xf>
    <xf numFmtId="0" fontId="0" fillId="7" borderId="20" xfId="0" applyFill="1" applyBorder="1" applyAlignment="1">
      <alignment horizontal="left" vertical="center" wrapText="1"/>
    </xf>
    <xf numFmtId="0" fontId="0" fillId="7" borderId="21" xfId="0" applyFill="1" applyBorder="1" applyAlignment="1">
      <alignment horizontal="left" vertical="center" wrapText="1"/>
    </xf>
    <xf numFmtId="0" fontId="0" fillId="0" borderId="19" xfId="0" applyBorder="1" applyAlignment="1">
      <alignment horizontal="left" vertical="center" wrapText="1"/>
    </xf>
    <xf numFmtId="0" fontId="21" fillId="7" borderId="17" xfId="0" applyFont="1" applyFill="1" applyBorder="1" applyAlignment="1">
      <alignment horizontal="center" vertical="center" wrapText="1"/>
    </xf>
    <xf numFmtId="0" fontId="5" fillId="7" borderId="18" xfId="0" applyFont="1" applyFill="1" applyBorder="1" applyAlignment="1">
      <alignment horizontal="left" vertical="center" wrapText="1"/>
    </xf>
    <xf numFmtId="0" fontId="5" fillId="7" borderId="20" xfId="0" applyFont="1" applyFill="1" applyBorder="1" applyAlignment="1">
      <alignment horizontal="left" vertical="center" wrapText="1"/>
    </xf>
    <xf numFmtId="0" fontId="5" fillId="0" borderId="19" xfId="0" applyFont="1" applyBorder="1" applyAlignment="1">
      <alignment horizontal="left" vertical="center" wrapText="1"/>
    </xf>
    <xf numFmtId="0" fontId="5" fillId="7" borderId="21" xfId="0" applyFont="1" applyFill="1" applyBorder="1" applyAlignment="1">
      <alignment horizontal="left" vertical="center" wrapText="1"/>
    </xf>
    <xf numFmtId="0" fontId="4" fillId="2" borderId="0" xfId="1" applyFont="1" applyFill="1" applyAlignment="1">
      <alignment horizontal="center" vertical="center" wrapText="1"/>
    </xf>
    <xf numFmtId="0" fontId="8" fillId="2" borderId="0" xfId="1" applyFont="1" applyFill="1" applyAlignment="1">
      <alignment vertical="center"/>
    </xf>
    <xf numFmtId="0" fontId="3" fillId="3" borderId="0" xfId="1" applyFont="1" applyFill="1" applyAlignment="1">
      <alignment vertical="center"/>
    </xf>
    <xf numFmtId="0" fontId="24" fillId="15" borderId="0" xfId="0" applyFont="1" applyFill="1" applyAlignment="1">
      <alignment horizontal="right" vertical="center"/>
    </xf>
    <xf numFmtId="0" fontId="0" fillId="15" borderId="0" xfId="0" applyFill="1"/>
    <xf numFmtId="0" fontId="3" fillId="3" borderId="0" xfId="1" applyFont="1" applyFill="1"/>
    <xf numFmtId="0" fontId="5" fillId="15" borderId="0" xfId="0" applyFont="1" applyFill="1"/>
    <xf numFmtId="0" fontId="6" fillId="3" borderId="0" xfId="1" applyFont="1" applyFill="1" applyAlignment="1">
      <alignment vertical="center"/>
    </xf>
    <xf numFmtId="0" fontId="9" fillId="15" borderId="0" xfId="0" quotePrefix="1" applyFont="1" applyFill="1" applyAlignment="1">
      <alignment horizontal="right" vertical="center"/>
    </xf>
    <xf numFmtId="0" fontId="5" fillId="15" borderId="0" xfId="0" applyFont="1" applyFill="1" applyAlignment="1">
      <alignment vertical="center"/>
    </xf>
    <xf numFmtId="0" fontId="6" fillId="15" borderId="0" xfId="0" applyFont="1" applyFill="1" applyAlignment="1">
      <alignment vertical="center"/>
    </xf>
    <xf numFmtId="0" fontId="6" fillId="15" borderId="0" xfId="0" applyFont="1" applyFill="1" applyAlignment="1">
      <alignment horizontal="center" vertical="center"/>
    </xf>
    <xf numFmtId="0" fontId="8" fillId="15" borderId="0" xfId="0" applyFont="1" applyFill="1" applyAlignment="1">
      <alignment vertical="center"/>
    </xf>
    <xf numFmtId="0" fontId="25" fillId="3" borderId="0" xfId="1" applyFont="1" applyFill="1" applyAlignment="1">
      <alignment vertical="center"/>
    </xf>
    <xf numFmtId="0" fontId="5" fillId="3" borderId="0" xfId="1" applyFont="1" applyFill="1"/>
    <xf numFmtId="0" fontId="8" fillId="3" borderId="0" xfId="1" applyFont="1" applyFill="1"/>
    <xf numFmtId="0" fontId="10" fillId="15" borderId="0" xfId="0" applyFont="1" applyFill="1" applyAlignment="1">
      <alignment horizontal="center" vertical="center"/>
    </xf>
    <xf numFmtId="0" fontId="3" fillId="15" borderId="0" xfId="0" applyFont="1" applyFill="1"/>
    <xf numFmtId="0" fontId="1" fillId="15" borderId="0" xfId="0" applyFont="1" applyFill="1"/>
    <xf numFmtId="0" fontId="3" fillId="15" borderId="0" xfId="0" applyFont="1" applyFill="1" applyAlignment="1">
      <alignment vertical="center"/>
    </xf>
    <xf numFmtId="0" fontId="1" fillId="3" borderId="0" xfId="1" applyFill="1"/>
    <xf numFmtId="0" fontId="5" fillId="7" borderId="0" xfId="0" applyFont="1" applyFill="1" applyAlignment="1">
      <alignment vertical="center"/>
    </xf>
    <xf numFmtId="0" fontId="6" fillId="7" borderId="0" xfId="0" applyFont="1" applyFill="1" applyAlignment="1">
      <alignment vertical="center"/>
    </xf>
    <xf numFmtId="0" fontId="24" fillId="7" borderId="2" xfId="0" applyFont="1" applyFill="1" applyBorder="1" applyAlignment="1">
      <alignment horizontal="right" vertical="center"/>
    </xf>
    <xf numFmtId="0" fontId="25" fillId="7" borderId="3" xfId="0" applyFont="1" applyFill="1" applyBorder="1" applyAlignment="1">
      <alignment vertical="center"/>
    </xf>
    <xf numFmtId="0" fontId="24" fillId="7" borderId="3" xfId="0" applyFont="1" applyFill="1" applyBorder="1" applyAlignment="1">
      <alignment horizontal="center" vertical="center"/>
    </xf>
    <xf numFmtId="0" fontId="24" fillId="7" borderId="4" xfId="0" applyFont="1" applyFill="1" applyBorder="1" applyAlignment="1">
      <alignment horizontal="center" vertical="center"/>
    </xf>
    <xf numFmtId="0" fontId="25" fillId="15" borderId="23" xfId="0" applyFont="1" applyFill="1" applyBorder="1" applyAlignment="1">
      <alignment horizontal="center" vertical="center"/>
    </xf>
    <xf numFmtId="0" fontId="25" fillId="15" borderId="0" xfId="0" applyFont="1" applyFill="1" applyAlignment="1">
      <alignment horizontal="center" vertical="center"/>
    </xf>
    <xf numFmtId="0" fontId="9" fillId="7" borderId="0" xfId="0" quotePrefix="1" applyFont="1" applyFill="1" applyAlignment="1">
      <alignment horizontal="right" vertical="center"/>
    </xf>
    <xf numFmtId="0" fontId="4" fillId="0" borderId="0" xfId="1" applyFont="1" applyAlignment="1">
      <alignment horizontal="center" vertical="center"/>
    </xf>
    <xf numFmtId="0" fontId="3" fillId="0" borderId="0" xfId="1" applyFont="1"/>
    <xf numFmtId="0" fontId="3" fillId="0" borderId="0" xfId="1" applyFont="1" applyAlignment="1">
      <alignment wrapText="1"/>
    </xf>
    <xf numFmtId="0" fontId="6" fillId="0" borderId="0" xfId="1" applyFont="1" applyAlignment="1">
      <alignment vertical="center"/>
    </xf>
    <xf numFmtId="0" fontId="9" fillId="0" borderId="0" xfId="0" quotePrefix="1" applyFont="1" applyAlignment="1">
      <alignment horizontal="right" vertical="center"/>
    </xf>
    <xf numFmtId="0" fontId="3" fillId="0" borderId="0" xfId="0" applyFont="1" applyAlignment="1">
      <alignment horizontal="center" vertical="center"/>
    </xf>
    <xf numFmtId="0" fontId="14" fillId="0" borderId="0" xfId="0" applyFont="1" applyAlignment="1">
      <alignment vertical="center"/>
    </xf>
    <xf numFmtId="0" fontId="14" fillId="0" borderId="0" xfId="0" quotePrefix="1" applyFont="1" applyAlignment="1">
      <alignment horizontal="right" vertical="center"/>
    </xf>
    <xf numFmtId="0" fontId="3" fillId="0" borderId="0" xfId="1" applyFont="1" applyAlignment="1">
      <alignment vertical="center"/>
    </xf>
    <xf numFmtId="0" fontId="7" fillId="0" borderId="0" xfId="2" applyFont="1" applyFill="1" applyAlignment="1" applyProtection="1">
      <alignment vertical="center" wrapText="1"/>
    </xf>
    <xf numFmtId="0" fontId="23" fillId="0" borderId="0" xfId="1" applyFont="1"/>
    <xf numFmtId="0" fontId="3" fillId="0" borderId="0" xfId="1" applyFont="1" applyAlignment="1">
      <alignment vertical="top"/>
    </xf>
    <xf numFmtId="0" fontId="27" fillId="0" borderId="0" xfId="1" applyFont="1" applyAlignment="1">
      <alignment horizontal="right" vertical="top"/>
    </xf>
    <xf numFmtId="0" fontId="28" fillId="7" borderId="0" xfId="0" applyFont="1" applyFill="1" applyAlignment="1">
      <alignment vertical="center"/>
    </xf>
    <xf numFmtId="0" fontId="29" fillId="0" borderId="0" xfId="1" applyFont="1" applyAlignment="1">
      <alignment horizontal="center" vertical="center"/>
    </xf>
    <xf numFmtId="0" fontId="29" fillId="0" borderId="5" xfId="1" applyFont="1" applyBorder="1" applyAlignment="1">
      <alignment horizontal="left" vertical="center"/>
    </xf>
    <xf numFmtId="0" fontId="30" fillId="0" borderId="0" xfId="1" applyFont="1"/>
    <xf numFmtId="0" fontId="30" fillId="0" borderId="0" xfId="0" applyFont="1"/>
    <xf numFmtId="0" fontId="30" fillId="0" borderId="0" xfId="0" applyFont="1" applyAlignment="1">
      <alignment wrapText="1"/>
    </xf>
    <xf numFmtId="0" fontId="31" fillId="0" borderId="0" xfId="0" quotePrefix="1" applyFont="1" applyAlignment="1">
      <alignment horizontal="right" vertical="center"/>
    </xf>
    <xf numFmtId="0" fontId="30" fillId="0" borderId="0" xfId="0" applyFont="1" applyAlignment="1">
      <alignment horizontal="center" vertical="center"/>
    </xf>
    <xf numFmtId="0" fontId="32" fillId="0" borderId="0" xfId="0" applyFont="1" applyAlignment="1">
      <alignment vertical="center"/>
    </xf>
    <xf numFmtId="0" fontId="32" fillId="0" borderId="0" xfId="0" quotePrefix="1" applyFont="1" applyAlignment="1">
      <alignment horizontal="right" vertical="center"/>
    </xf>
    <xf numFmtId="0" fontId="31" fillId="7" borderId="0" xfId="0" quotePrefix="1" applyFont="1" applyFill="1" applyAlignment="1">
      <alignment horizontal="right" vertical="center"/>
    </xf>
    <xf numFmtId="0" fontId="28" fillId="15" borderId="0" xfId="1" applyFont="1" applyFill="1"/>
    <xf numFmtId="0" fontId="4" fillId="15" borderId="0" xfId="1" applyFont="1" applyFill="1" applyAlignment="1">
      <alignment horizontal="center" vertical="center"/>
    </xf>
    <xf numFmtId="0" fontId="10" fillId="15" borderId="0" xfId="0" applyFont="1" applyFill="1" applyAlignment="1">
      <alignment horizontal="left" vertical="center"/>
    </xf>
    <xf numFmtId="0" fontId="17" fillId="10" borderId="8" xfId="0" applyFont="1" applyFill="1" applyBorder="1" applyAlignment="1" applyProtection="1">
      <alignment horizontal="left" vertical="center"/>
      <protection locked="0"/>
    </xf>
    <xf numFmtId="0" fontId="20" fillId="0" borderId="0" xfId="0" applyFont="1" applyAlignment="1">
      <alignment horizontal="right" vertical="top"/>
    </xf>
    <xf numFmtId="0" fontId="19" fillId="5" borderId="11" xfId="0" applyFont="1" applyFill="1" applyBorder="1" applyAlignment="1" applyProtection="1">
      <alignment horizontal="center" vertical="center"/>
      <protection locked="0"/>
    </xf>
    <xf numFmtId="0" fontId="19" fillId="5" borderId="10" xfId="0" applyFont="1" applyFill="1" applyBorder="1" applyAlignment="1" applyProtection="1">
      <alignment horizontal="center" vertical="center"/>
      <protection locked="0"/>
    </xf>
    <xf numFmtId="0" fontId="13" fillId="9" borderId="8" xfId="0" applyFont="1" applyFill="1" applyBorder="1" applyAlignment="1" applyProtection="1">
      <alignment horizontal="left" vertical="center"/>
      <protection locked="0"/>
    </xf>
    <xf numFmtId="0" fontId="16" fillId="0" borderId="0" xfId="0" applyFont="1" applyAlignment="1">
      <alignment horizontal="right" vertical="center" textRotation="90"/>
    </xf>
    <xf numFmtId="0" fontId="13" fillId="8" borderId="6" xfId="0" applyFont="1" applyFill="1" applyBorder="1" applyAlignment="1" applyProtection="1">
      <alignment horizontal="left" vertical="center"/>
      <protection locked="0"/>
    </xf>
    <xf numFmtId="0" fontId="13" fillId="14" borderId="12" xfId="0" applyFont="1" applyFill="1" applyBorder="1" applyAlignment="1" applyProtection="1">
      <alignment horizontal="left" vertical="center"/>
      <protection locked="0"/>
    </xf>
    <xf numFmtId="0" fontId="17" fillId="13" borderId="8" xfId="0" applyFont="1" applyFill="1" applyBorder="1" applyAlignment="1" applyProtection="1">
      <alignment horizontal="left" vertical="center"/>
      <protection locked="0"/>
    </xf>
    <xf numFmtId="0" fontId="13" fillId="6" borderId="8" xfId="0" applyFont="1" applyFill="1" applyBorder="1" applyAlignment="1" applyProtection="1">
      <alignment horizontal="left" vertical="center"/>
      <protection locked="0"/>
    </xf>
    <xf numFmtId="0" fontId="13" fillId="12" borderId="8" xfId="0" applyFont="1" applyFill="1" applyBorder="1" applyAlignment="1" applyProtection="1">
      <alignment horizontal="left" vertical="center"/>
      <protection locked="0"/>
    </xf>
    <xf numFmtId="0" fontId="17" fillId="11" borderId="8" xfId="0" applyFont="1" applyFill="1" applyBorder="1" applyAlignment="1" applyProtection="1">
      <alignment horizontal="left" vertical="center"/>
      <protection locked="0"/>
    </xf>
    <xf numFmtId="0" fontId="7" fillId="2" borderId="0" xfId="2" applyFont="1" applyFill="1" applyAlignment="1" applyProtection="1">
      <alignment horizontal="center" vertical="center" wrapText="1"/>
    </xf>
    <xf numFmtId="0" fontId="4" fillId="2" borderId="0" xfId="2" applyFont="1" applyFill="1" applyAlignment="1" applyProtection="1">
      <alignment horizontal="center" vertical="center" wrapText="1"/>
    </xf>
    <xf numFmtId="0" fontId="6" fillId="2" borderId="0" xfId="0" applyFont="1" applyFill="1" applyAlignment="1">
      <alignment horizontal="center" vertical="center" shrinkToFit="1"/>
    </xf>
    <xf numFmtId="0" fontId="6" fillId="2" borderId="0" xfId="0" applyFont="1" applyFill="1" applyAlignment="1">
      <alignment horizontal="center" vertical="center"/>
    </xf>
    <xf numFmtId="0" fontId="9" fillId="2" borderId="0" xfId="0" applyFont="1" applyFill="1" applyAlignment="1">
      <alignment horizontal="center" vertical="center"/>
    </xf>
    <xf numFmtId="0" fontId="9" fillId="2" borderId="0" xfId="0" applyFont="1" applyFill="1" applyAlignment="1">
      <alignment horizontal="center" vertical="center" shrinkToFit="1"/>
    </xf>
    <xf numFmtId="0" fontId="6" fillId="2" borderId="0" xfId="0" applyFont="1" applyFill="1" applyAlignment="1">
      <alignment horizontal="right" vertical="center" shrinkToFit="1"/>
    </xf>
    <xf numFmtId="0" fontId="6" fillId="2" borderId="0" xfId="1" applyFont="1" applyFill="1" applyAlignment="1">
      <alignment horizontal="center" vertical="center"/>
    </xf>
    <xf numFmtId="0" fontId="11" fillId="7" borderId="2" xfId="0" applyFont="1" applyFill="1" applyBorder="1" applyAlignment="1">
      <alignment horizontal="left" vertical="center"/>
    </xf>
    <xf numFmtId="0" fontId="11" fillId="7" borderId="3" xfId="0" applyFont="1" applyFill="1" applyBorder="1" applyAlignment="1">
      <alignment horizontal="left" vertical="center"/>
    </xf>
    <xf numFmtId="0" fontId="11" fillId="7" borderId="4" xfId="0" applyFont="1" applyFill="1" applyBorder="1" applyAlignment="1">
      <alignment horizontal="left" vertical="center"/>
    </xf>
    <xf numFmtId="0" fontId="6" fillId="2" borderId="0" xfId="1" applyFont="1" applyFill="1" applyAlignment="1">
      <alignment horizontal="justify" vertical="center" wrapText="1"/>
    </xf>
    <xf numFmtId="0" fontId="3" fillId="2" borderId="0" xfId="1" applyFont="1" applyFill="1" applyAlignment="1">
      <alignment horizontal="justify" vertical="center" wrapText="1"/>
    </xf>
    <xf numFmtId="0" fontId="6" fillId="2" borderId="0" xfId="0" applyFont="1" applyFill="1" applyAlignment="1">
      <alignment horizontal="justify" vertical="center" wrapText="1"/>
    </xf>
    <xf numFmtId="0" fontId="3" fillId="2" borderId="0" xfId="0" applyFont="1" applyFill="1" applyAlignment="1">
      <alignment horizontal="justify" vertical="center" wrapText="1"/>
    </xf>
    <xf numFmtId="0" fontId="24" fillId="7" borderId="2" xfId="0" applyFont="1" applyFill="1" applyBorder="1" applyAlignment="1">
      <alignment horizontal="center" vertical="center"/>
    </xf>
    <xf numFmtId="0" fontId="24" fillId="7" borderId="4" xfId="0" applyFont="1" applyFill="1" applyBorder="1" applyAlignment="1">
      <alignment horizontal="center" vertical="center"/>
    </xf>
    <xf numFmtId="0" fontId="24" fillId="7" borderId="3" xfId="0" applyFont="1" applyFill="1" applyBorder="1" applyAlignment="1">
      <alignment horizontal="center" vertical="center"/>
    </xf>
    <xf numFmtId="0" fontId="4" fillId="2" borderId="0" xfId="1" applyFont="1" applyFill="1" applyAlignment="1">
      <alignment horizontal="left" vertical="center" wrapText="1"/>
    </xf>
    <xf numFmtId="0" fontId="4" fillId="2" borderId="0" xfId="0" applyFont="1" applyFill="1" applyAlignment="1">
      <alignment horizontal="left" vertical="center" wrapText="1"/>
    </xf>
    <xf numFmtId="0" fontId="15" fillId="3" borderId="22" xfId="1" applyFont="1" applyFill="1" applyBorder="1" applyAlignment="1">
      <alignment horizontal="center" vertical="center"/>
    </xf>
    <xf numFmtId="0" fontId="26" fillId="5" borderId="22" xfId="1" applyFont="1" applyFill="1" applyBorder="1" applyAlignment="1">
      <alignment horizontal="center" vertical="center"/>
    </xf>
    <xf numFmtId="0" fontId="33" fillId="9" borderId="2" xfId="1" applyFont="1" applyFill="1" applyBorder="1" applyAlignment="1">
      <alignment horizontal="center" vertical="center" wrapText="1"/>
    </xf>
    <xf numFmtId="0" fontId="33" fillId="9" borderId="3" xfId="1" applyFont="1" applyFill="1" applyBorder="1" applyAlignment="1">
      <alignment horizontal="center" vertical="center" wrapText="1"/>
    </xf>
    <xf numFmtId="0" fontId="33" fillId="9" borderId="4" xfId="1" applyFont="1" applyFill="1" applyBorder="1" applyAlignment="1">
      <alignment horizontal="center" vertical="center" wrapText="1"/>
    </xf>
    <xf numFmtId="0" fontId="33" fillId="14" borderId="2" xfId="1" applyFont="1" applyFill="1" applyBorder="1" applyAlignment="1">
      <alignment horizontal="center" vertical="center" wrapText="1"/>
    </xf>
    <xf numFmtId="0" fontId="33" fillId="14" borderId="3" xfId="1" applyFont="1" applyFill="1" applyBorder="1" applyAlignment="1">
      <alignment horizontal="center" vertical="center" wrapText="1"/>
    </xf>
    <xf numFmtId="0" fontId="33" fillId="14" borderId="4" xfId="1" applyFont="1" applyFill="1" applyBorder="1" applyAlignment="1">
      <alignment horizontal="center" vertical="center" wrapText="1"/>
    </xf>
    <xf numFmtId="0" fontId="29" fillId="7" borderId="2" xfId="1" applyFont="1" applyFill="1" applyBorder="1" applyAlignment="1">
      <alignment horizontal="center" vertical="center"/>
    </xf>
    <xf numFmtId="0" fontId="29" fillId="7" borderId="3" xfId="1" applyFont="1" applyFill="1" applyBorder="1" applyAlignment="1">
      <alignment horizontal="center" vertical="center"/>
    </xf>
    <xf numFmtId="0" fontId="29" fillId="7" borderId="4" xfId="1" applyFont="1" applyFill="1" applyBorder="1" applyAlignment="1">
      <alignment horizontal="center" vertical="center"/>
    </xf>
    <xf numFmtId="0" fontId="33" fillId="5" borderId="2" xfId="1" applyFont="1" applyFill="1" applyBorder="1" applyAlignment="1">
      <alignment horizontal="center" vertical="center" wrapText="1"/>
    </xf>
    <xf numFmtId="0" fontId="33" fillId="5" borderId="3" xfId="1" applyFont="1" applyFill="1" applyBorder="1" applyAlignment="1">
      <alignment horizontal="center" vertical="center" wrapText="1"/>
    </xf>
    <xf numFmtId="0" fontId="33" fillId="5" borderId="4" xfId="1" applyFont="1" applyFill="1" applyBorder="1" applyAlignment="1">
      <alignment horizontal="center" vertical="center" wrapText="1"/>
    </xf>
    <xf numFmtId="0" fontId="34" fillId="13" borderId="2" xfId="1" applyFont="1" applyFill="1" applyBorder="1" applyAlignment="1">
      <alignment horizontal="center" vertical="center" wrapText="1"/>
    </xf>
    <xf numFmtId="0" fontId="34" fillId="13" borderId="3" xfId="1" applyFont="1" applyFill="1" applyBorder="1" applyAlignment="1">
      <alignment horizontal="center" vertical="center" wrapText="1"/>
    </xf>
    <xf numFmtId="0" fontId="34" fillId="13" borderId="4" xfId="1" applyFont="1" applyFill="1" applyBorder="1" applyAlignment="1">
      <alignment horizontal="center" vertical="center" wrapText="1"/>
    </xf>
    <xf numFmtId="0" fontId="33" fillId="6" borderId="2" xfId="1" applyFont="1" applyFill="1" applyBorder="1" applyAlignment="1">
      <alignment horizontal="center" vertical="center" wrapText="1"/>
    </xf>
    <xf numFmtId="0" fontId="33" fillId="6" borderId="3" xfId="1" applyFont="1" applyFill="1" applyBorder="1" applyAlignment="1">
      <alignment horizontal="center" vertical="center" wrapText="1"/>
    </xf>
    <xf numFmtId="0" fontId="33" fillId="6" borderId="4" xfId="1" applyFont="1" applyFill="1" applyBorder="1" applyAlignment="1">
      <alignment horizontal="center" vertical="center" wrapText="1"/>
    </xf>
    <xf numFmtId="0" fontId="33" fillId="12" borderId="2" xfId="1" applyFont="1" applyFill="1" applyBorder="1" applyAlignment="1">
      <alignment horizontal="center" vertical="center" wrapText="1"/>
    </xf>
    <xf numFmtId="0" fontId="33" fillId="12" borderId="3" xfId="1" applyFont="1" applyFill="1" applyBorder="1" applyAlignment="1">
      <alignment horizontal="center" vertical="center" wrapText="1"/>
    </xf>
    <xf numFmtId="0" fontId="33" fillId="12" borderId="4" xfId="1" applyFont="1" applyFill="1" applyBorder="1" applyAlignment="1">
      <alignment horizontal="center" vertical="center" wrapText="1"/>
    </xf>
    <xf numFmtId="0" fontId="34" fillId="11" borderId="2" xfId="1" applyFont="1" applyFill="1" applyBorder="1" applyAlignment="1">
      <alignment horizontal="center" vertical="center" wrapText="1"/>
    </xf>
    <xf numFmtId="0" fontId="34" fillId="11" borderId="3" xfId="1" applyFont="1" applyFill="1" applyBorder="1" applyAlignment="1">
      <alignment horizontal="center" vertical="center" wrapText="1"/>
    </xf>
    <xf numFmtId="0" fontId="34" fillId="11" borderId="4" xfId="1" applyFont="1" applyFill="1" applyBorder="1" applyAlignment="1">
      <alignment horizontal="center" vertical="center" wrapText="1"/>
    </xf>
    <xf numFmtId="0" fontId="34" fillId="10" borderId="2" xfId="1" applyFont="1" applyFill="1" applyBorder="1" applyAlignment="1">
      <alignment horizontal="center" vertical="center" wrapText="1"/>
    </xf>
    <xf numFmtId="0" fontId="34" fillId="10" borderId="3" xfId="1" applyFont="1" applyFill="1" applyBorder="1" applyAlignment="1">
      <alignment horizontal="center" vertical="center" wrapText="1"/>
    </xf>
    <xf numFmtId="0" fontId="34" fillId="10" borderId="4" xfId="1" applyFont="1" applyFill="1" applyBorder="1" applyAlignment="1">
      <alignment horizontal="center" vertical="center" wrapText="1"/>
    </xf>
    <xf numFmtId="0" fontId="0" fillId="7" borderId="21" xfId="0" applyFill="1" applyBorder="1" applyAlignment="1">
      <alignment horizontal="left" vertical="center" wrapText="1"/>
    </xf>
    <xf numFmtId="0" fontId="0" fillId="7" borderId="20" xfId="0" applyFill="1" applyBorder="1" applyAlignment="1">
      <alignment horizontal="left" vertical="center" wrapText="1"/>
    </xf>
    <xf numFmtId="0" fontId="0" fillId="7" borderId="21" xfId="0" quotePrefix="1" applyFill="1" applyBorder="1" applyAlignment="1">
      <alignment horizontal="left" vertical="center" wrapText="1"/>
    </xf>
    <xf numFmtId="0" fontId="22" fillId="7" borderId="21" xfId="0" applyFont="1" applyFill="1" applyBorder="1" applyAlignment="1">
      <alignment horizontal="center" vertical="center" wrapText="1"/>
    </xf>
    <xf numFmtId="0" fontId="22" fillId="7" borderId="18" xfId="0" applyFont="1" applyFill="1" applyBorder="1" applyAlignment="1">
      <alignment horizontal="center" vertical="center" wrapText="1"/>
    </xf>
    <xf numFmtId="0" fontId="0" fillId="7" borderId="18" xfId="0" applyFill="1" applyBorder="1" applyAlignment="1">
      <alignment horizontal="left" vertical="center" wrapText="1"/>
    </xf>
    <xf numFmtId="0" fontId="22" fillId="0" borderId="19" xfId="0" applyFont="1" applyBorder="1" applyAlignment="1">
      <alignment horizontal="center" vertical="center" wrapText="1"/>
    </xf>
    <xf numFmtId="0" fontId="0" fillId="0" borderId="19" xfId="0" applyBorder="1" applyAlignment="1">
      <alignment horizontal="left" vertical="center" wrapText="1"/>
    </xf>
    <xf numFmtId="0" fontId="0" fillId="0" borderId="19" xfId="0" quotePrefix="1" applyBorder="1" applyAlignment="1">
      <alignment horizontal="left" vertical="center" wrapText="1"/>
    </xf>
    <xf numFmtId="0" fontId="22" fillId="7" borderId="20" xfId="0" applyFont="1" applyFill="1" applyBorder="1" applyAlignment="1">
      <alignment horizontal="center" vertical="center" wrapText="1"/>
    </xf>
    <xf numFmtId="0" fontId="0" fillId="7" borderId="18" xfId="0" quotePrefix="1" applyFill="1" applyBorder="1" applyAlignment="1">
      <alignment horizontal="left" vertical="center" wrapText="1"/>
    </xf>
    <xf numFmtId="0" fontId="21" fillId="7" borderId="21" xfId="0" applyFont="1" applyFill="1" applyBorder="1" applyAlignment="1">
      <alignment horizontal="center" vertical="center" wrapText="1"/>
    </xf>
    <xf numFmtId="0" fontId="21" fillId="7" borderId="18" xfId="0" applyFont="1" applyFill="1" applyBorder="1" applyAlignment="1">
      <alignment horizontal="center" vertical="center" wrapText="1"/>
    </xf>
    <xf numFmtId="0" fontId="5" fillId="7" borderId="21" xfId="0" applyFont="1" applyFill="1" applyBorder="1" applyAlignment="1">
      <alignment horizontal="left" vertical="center" wrapText="1"/>
    </xf>
    <xf numFmtId="0" fontId="5" fillId="7" borderId="18" xfId="0" applyFont="1" applyFill="1" applyBorder="1" applyAlignment="1">
      <alignment horizontal="left" vertical="center" wrapText="1"/>
    </xf>
    <xf numFmtId="0" fontId="5" fillId="7" borderId="21" xfId="0" quotePrefix="1" applyFont="1" applyFill="1" applyBorder="1" applyAlignment="1">
      <alignment horizontal="left" vertical="center" wrapText="1"/>
    </xf>
    <xf numFmtId="0" fontId="21" fillId="7" borderId="20" xfId="0" applyFont="1" applyFill="1" applyBorder="1" applyAlignment="1">
      <alignment horizontal="center" vertical="center" wrapText="1"/>
    </xf>
    <xf numFmtId="0" fontId="5" fillId="7" borderId="20" xfId="0" applyFont="1" applyFill="1" applyBorder="1" applyAlignment="1">
      <alignment horizontal="left" vertical="center" wrapText="1"/>
    </xf>
    <xf numFmtId="0" fontId="21" fillId="0" borderId="19" xfId="0" applyFont="1" applyBorder="1" applyAlignment="1">
      <alignment horizontal="center" vertical="center" wrapText="1"/>
    </xf>
    <xf numFmtId="0" fontId="5" fillId="0" borderId="19" xfId="0" applyFont="1" applyBorder="1" applyAlignment="1">
      <alignment horizontal="left" vertical="center" wrapText="1"/>
    </xf>
    <xf numFmtId="0" fontId="5" fillId="0" borderId="19" xfId="0" quotePrefix="1" applyFont="1" applyBorder="1" applyAlignment="1">
      <alignment horizontal="left" vertical="center" wrapText="1"/>
    </xf>
    <xf numFmtId="0" fontId="5" fillId="7" borderId="18" xfId="0" quotePrefix="1" applyFont="1" applyFill="1" applyBorder="1" applyAlignment="1">
      <alignment horizontal="left" vertical="center" wrapText="1"/>
    </xf>
  </cellXfs>
  <cellStyles count="3">
    <cellStyle name="Hyperlink" xfId="2" builtinId="8"/>
    <cellStyle name="Normal" xfId="0" builtinId="0"/>
    <cellStyle name="Standaard 2" xfId="1" xr:uid="{00000000-0005-0000-0000-000002000000}"/>
  </cellStyles>
  <dxfs count="32">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theme="0"/>
      </font>
      <fill>
        <patternFill>
          <bgColor theme="3"/>
        </patternFill>
      </fill>
    </dxf>
    <dxf>
      <font>
        <color theme="0"/>
      </font>
      <fill>
        <patternFill>
          <bgColor theme="3"/>
        </patternFill>
      </fill>
    </dxf>
    <dxf>
      <font>
        <color theme="0"/>
      </font>
      <fill>
        <patternFill>
          <bgColor theme="3"/>
        </patternFill>
      </fill>
    </dxf>
    <dxf>
      <font>
        <color theme="0"/>
      </font>
      <fill>
        <patternFill>
          <bgColor theme="3"/>
        </patternFill>
      </fill>
    </dxf>
    <dxf>
      <font>
        <color theme="0"/>
      </font>
      <fill>
        <patternFill>
          <bgColor theme="3"/>
        </patternFill>
      </fill>
    </dxf>
    <dxf>
      <font>
        <color theme="0"/>
      </font>
      <fill>
        <patternFill>
          <bgColor theme="3"/>
        </patternFill>
      </fill>
    </dxf>
    <dxf>
      <font>
        <color theme="0"/>
      </font>
      <fill>
        <patternFill>
          <bgColor theme="3"/>
        </patternFill>
      </fill>
    </dxf>
    <dxf>
      <font>
        <color theme="0"/>
      </font>
      <fill>
        <patternFill>
          <bgColor theme="3"/>
        </patternFill>
      </fill>
    </dxf>
    <dxf>
      <font>
        <color theme="0"/>
      </font>
      <fill>
        <patternFill>
          <bgColor theme="3"/>
        </patternFill>
      </fill>
    </dxf>
    <dxf>
      <font>
        <color theme="0"/>
      </font>
      <fill>
        <patternFill>
          <bgColor theme="3"/>
        </patternFill>
      </fill>
    </dxf>
    <dxf>
      <font>
        <color theme="0"/>
      </font>
      <fill>
        <patternFill>
          <bgColor theme="3"/>
        </patternFill>
      </fill>
    </dxf>
    <dxf>
      <font>
        <color theme="0"/>
      </font>
      <fill>
        <patternFill>
          <bgColor theme="3"/>
        </patternFill>
      </fill>
    </dxf>
    <dxf>
      <font>
        <color theme="0"/>
      </font>
      <fill>
        <patternFill>
          <bgColor theme="3"/>
        </patternFill>
      </fill>
    </dxf>
    <dxf>
      <font>
        <color theme="0"/>
      </font>
      <fill>
        <patternFill>
          <bgColor theme="3"/>
        </patternFill>
      </fill>
    </dxf>
    <dxf>
      <font>
        <color theme="0"/>
      </font>
      <fill>
        <patternFill>
          <bgColor theme="3"/>
        </patternFill>
      </fill>
    </dxf>
    <dxf>
      <font>
        <color theme="0"/>
      </font>
      <fill>
        <patternFill>
          <bgColor theme="3"/>
        </patternFill>
      </fill>
    </dxf>
    <dxf>
      <font>
        <color theme="0"/>
      </font>
      <fill>
        <patternFill>
          <bgColor theme="3"/>
        </patternFill>
      </fill>
    </dxf>
    <dxf>
      <font>
        <color theme="0"/>
      </font>
      <fill>
        <patternFill>
          <bgColor theme="3"/>
        </patternFill>
      </fill>
    </dxf>
    <dxf>
      <font>
        <color theme="0"/>
      </font>
      <fill>
        <patternFill>
          <bgColor theme="3"/>
        </patternFill>
      </fill>
    </dxf>
    <dxf>
      <font>
        <color theme="0"/>
      </font>
      <fill>
        <patternFill>
          <bgColor theme="3"/>
        </patternFill>
      </fill>
    </dxf>
    <dxf>
      <font>
        <color theme="0"/>
      </font>
      <fill>
        <patternFill>
          <bgColor theme="3"/>
        </patternFill>
      </fill>
    </dxf>
    <dxf>
      <font>
        <color theme="0"/>
      </font>
      <fill>
        <patternFill>
          <bgColor theme="3"/>
        </patternFill>
      </fill>
    </dxf>
    <dxf>
      <font>
        <color theme="0"/>
      </font>
      <fill>
        <patternFill>
          <bgColor theme="3"/>
        </patternFill>
      </fill>
    </dxf>
    <dxf>
      <font>
        <color theme="0"/>
      </font>
      <fill>
        <patternFill>
          <bgColor theme="3"/>
        </patternFill>
      </fill>
    </dxf>
  </dxfs>
  <tableStyles count="0" defaultTableStyle="TableStyleMedium2" defaultPivotStyle="PivotStyleLight16"/>
  <colors>
    <mruColors>
      <color rgb="FFFFC000"/>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radarChart>
        <c:radarStyle val="filled"/>
        <c:varyColors val="0"/>
        <c:ser>
          <c:idx val="0"/>
          <c:order val="0"/>
          <c:tx>
            <c:strRef>
              <c:f>'SON CAO'!$EV$4</c:f>
              <c:strCache>
                <c:ptCount val="1"/>
                <c:pt idx="0">
                  <c:v>SON CAO</c:v>
                </c:pt>
              </c:strCache>
            </c:strRef>
          </c:tx>
          <c:spPr>
            <a:solidFill>
              <a:schemeClr val="accent1"/>
            </a:solidFill>
            <a:ln>
              <a:solidFill>
                <a:schemeClr val="accent1"/>
              </a:solidFill>
            </a:ln>
          </c:spPr>
          <c:cat>
            <c:strRef>
              <c:f>'SON CAO'!$EU$5:$EU$13</c:f>
              <c:strCache>
                <c:ptCount val="9"/>
                <c:pt idx="0">
                  <c:v>Implementor</c:v>
                </c:pt>
                <c:pt idx="1">
                  <c:v>Coordinator</c:v>
                </c:pt>
                <c:pt idx="2">
                  <c:v>Shaper</c:v>
                </c:pt>
                <c:pt idx="3">
                  <c:v>Plant</c:v>
                </c:pt>
                <c:pt idx="4">
                  <c:v>Resource Investigator</c:v>
                </c:pt>
                <c:pt idx="5">
                  <c:v>Monitor Evaluator</c:v>
                </c:pt>
                <c:pt idx="6">
                  <c:v>Team Worker</c:v>
                </c:pt>
                <c:pt idx="7">
                  <c:v>Complete Finisher</c:v>
                </c:pt>
                <c:pt idx="8">
                  <c:v>Specialist</c:v>
                </c:pt>
              </c:strCache>
            </c:strRef>
          </c:cat>
          <c:val>
            <c:numRef>
              <c:f>'SON CAO'!$EV$5:$EV$13</c:f>
              <c:numCache>
                <c:formatCode>General</c:formatCode>
                <c:ptCount val="9"/>
                <c:pt idx="0">
                  <c:v>2</c:v>
                </c:pt>
                <c:pt idx="1">
                  <c:v>1</c:v>
                </c:pt>
                <c:pt idx="2">
                  <c:v>0</c:v>
                </c:pt>
                <c:pt idx="3">
                  <c:v>1</c:v>
                </c:pt>
                <c:pt idx="4">
                  <c:v>2</c:v>
                </c:pt>
                <c:pt idx="5">
                  <c:v>0</c:v>
                </c:pt>
                <c:pt idx="6">
                  <c:v>1</c:v>
                </c:pt>
                <c:pt idx="7">
                  <c:v>2</c:v>
                </c:pt>
                <c:pt idx="8">
                  <c:v>1</c:v>
                </c:pt>
              </c:numCache>
            </c:numRef>
          </c:val>
          <c:extLst>
            <c:ext xmlns:c16="http://schemas.microsoft.com/office/drawing/2014/chart" uri="{C3380CC4-5D6E-409C-BE32-E72D297353CC}">
              <c16:uniqueId val="{00000000-BBC4-45FA-AC57-0E83BA75A74D}"/>
            </c:ext>
          </c:extLst>
        </c:ser>
        <c:dLbls>
          <c:showLegendKey val="0"/>
          <c:showVal val="0"/>
          <c:showCatName val="0"/>
          <c:showSerName val="0"/>
          <c:showPercent val="0"/>
          <c:showBubbleSize val="0"/>
        </c:dLbls>
        <c:axId val="132743168"/>
        <c:axId val="132744704"/>
      </c:radarChart>
      <c:catAx>
        <c:axId val="132743168"/>
        <c:scaling>
          <c:orientation val="minMax"/>
        </c:scaling>
        <c:delete val="0"/>
        <c:axPos val="b"/>
        <c:majorGridlines/>
        <c:numFmt formatCode="General" sourceLinked="0"/>
        <c:majorTickMark val="out"/>
        <c:minorTickMark val="none"/>
        <c:tickLblPos val="nextTo"/>
        <c:crossAx val="132744704"/>
        <c:crosses val="autoZero"/>
        <c:auto val="1"/>
        <c:lblAlgn val="ctr"/>
        <c:lblOffset val="100"/>
        <c:noMultiLvlLbl val="0"/>
      </c:catAx>
      <c:valAx>
        <c:axId val="132744704"/>
        <c:scaling>
          <c:orientation val="minMax"/>
        </c:scaling>
        <c:delete val="0"/>
        <c:axPos val="l"/>
        <c:majorGridlines/>
        <c:numFmt formatCode="General" sourceLinked="1"/>
        <c:majorTickMark val="cross"/>
        <c:minorTickMark val="none"/>
        <c:tickLblPos val="nextTo"/>
        <c:crossAx val="132743168"/>
        <c:crosses val="autoZero"/>
        <c:crossBetween val="between"/>
      </c:valAx>
      <c:spPr>
        <a:solidFill>
          <a:schemeClr val="bg1"/>
        </a:solidFill>
      </c:spPr>
    </c:plotArea>
    <c:plotVisOnly val="1"/>
    <c:dispBlanksAs val="gap"/>
    <c:showDLblsOverMax val="0"/>
  </c:chart>
  <c:spPr>
    <a:solidFill>
      <a:schemeClr val="bg1"/>
    </a:solidFill>
    <a:ln>
      <a:noFill/>
    </a:ln>
  </c:spPr>
  <c:printSettings>
    <c:headerFooter/>
    <c:pageMargins b="0.75" l="0.7" r="0.7" t="0.75" header="0.3" footer="0.3"/>
    <c:pageSetup paperSize="9" orientation="landscape" horizontalDpi="-3" verticalDpi="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radarChart>
        <c:radarStyle val="filled"/>
        <c:varyColors val="0"/>
        <c:ser>
          <c:idx val="0"/>
          <c:order val="0"/>
          <c:tx>
            <c:strRef>
              <c:f>'2'!$EV$4</c:f>
              <c:strCache>
                <c:ptCount val="1"/>
                <c:pt idx="0">
                  <c:v>0</c:v>
                </c:pt>
              </c:strCache>
            </c:strRef>
          </c:tx>
          <c:spPr>
            <a:solidFill>
              <a:schemeClr val="accent3"/>
            </a:solidFill>
            <a:ln>
              <a:solidFill>
                <a:schemeClr val="accent3"/>
              </a:solidFill>
            </a:ln>
          </c:spPr>
          <c:cat>
            <c:strRef>
              <c:f>'2'!$EU$5:$EU$13</c:f>
              <c:strCache>
                <c:ptCount val="9"/>
                <c:pt idx="0">
                  <c:v>Implementor</c:v>
                </c:pt>
                <c:pt idx="1">
                  <c:v>Coordinator</c:v>
                </c:pt>
                <c:pt idx="2">
                  <c:v>Shaper</c:v>
                </c:pt>
                <c:pt idx="3">
                  <c:v>Plant</c:v>
                </c:pt>
                <c:pt idx="4">
                  <c:v>Resource Investigator</c:v>
                </c:pt>
                <c:pt idx="5">
                  <c:v>Monitor Evaluator</c:v>
                </c:pt>
                <c:pt idx="6">
                  <c:v>Team Worker</c:v>
                </c:pt>
                <c:pt idx="7">
                  <c:v>Complete Finisher</c:v>
                </c:pt>
                <c:pt idx="8">
                  <c:v>Specialist</c:v>
                </c:pt>
              </c:strCache>
            </c:strRef>
          </c:cat>
          <c:val>
            <c:numRef>
              <c:f>'2'!$EV$5:$EV$13</c:f>
              <c:numCache>
                <c:formatCode>General</c:formatCode>
                <c:ptCount val="9"/>
                <c:pt idx="0">
                  <c:v>11</c:v>
                </c:pt>
                <c:pt idx="1">
                  <c:v>7</c:v>
                </c:pt>
                <c:pt idx="2">
                  <c:v>6</c:v>
                </c:pt>
                <c:pt idx="3">
                  <c:v>8</c:v>
                </c:pt>
                <c:pt idx="4">
                  <c:v>7</c:v>
                </c:pt>
                <c:pt idx="5">
                  <c:v>7</c:v>
                </c:pt>
                <c:pt idx="6">
                  <c:v>9</c:v>
                </c:pt>
                <c:pt idx="7">
                  <c:v>9</c:v>
                </c:pt>
                <c:pt idx="8">
                  <c:v>6</c:v>
                </c:pt>
              </c:numCache>
            </c:numRef>
          </c:val>
          <c:extLst>
            <c:ext xmlns:c16="http://schemas.microsoft.com/office/drawing/2014/chart" uri="{C3380CC4-5D6E-409C-BE32-E72D297353CC}">
              <c16:uniqueId val="{00000000-977B-4309-B0FD-5C0CAC27BF1B}"/>
            </c:ext>
          </c:extLst>
        </c:ser>
        <c:dLbls>
          <c:showLegendKey val="0"/>
          <c:showVal val="0"/>
          <c:showCatName val="0"/>
          <c:showSerName val="0"/>
          <c:showPercent val="0"/>
          <c:showBubbleSize val="0"/>
        </c:dLbls>
        <c:axId val="133706880"/>
        <c:axId val="133708416"/>
      </c:radarChart>
      <c:catAx>
        <c:axId val="133706880"/>
        <c:scaling>
          <c:orientation val="minMax"/>
        </c:scaling>
        <c:delete val="0"/>
        <c:axPos val="b"/>
        <c:majorGridlines/>
        <c:numFmt formatCode="General" sourceLinked="0"/>
        <c:majorTickMark val="out"/>
        <c:minorTickMark val="none"/>
        <c:tickLblPos val="nextTo"/>
        <c:crossAx val="133708416"/>
        <c:crosses val="autoZero"/>
        <c:auto val="1"/>
        <c:lblAlgn val="ctr"/>
        <c:lblOffset val="100"/>
        <c:noMultiLvlLbl val="0"/>
      </c:catAx>
      <c:valAx>
        <c:axId val="133708416"/>
        <c:scaling>
          <c:orientation val="minMax"/>
        </c:scaling>
        <c:delete val="0"/>
        <c:axPos val="l"/>
        <c:majorGridlines/>
        <c:numFmt formatCode="General" sourceLinked="1"/>
        <c:majorTickMark val="cross"/>
        <c:minorTickMark val="none"/>
        <c:tickLblPos val="nextTo"/>
        <c:crossAx val="133706880"/>
        <c:crosses val="autoZero"/>
        <c:crossBetween val="between"/>
      </c:valAx>
      <c:spPr>
        <a:solidFill>
          <a:schemeClr val="bg1"/>
        </a:solidFill>
      </c:spPr>
    </c:plotArea>
    <c:plotVisOnly val="1"/>
    <c:dispBlanksAs val="gap"/>
    <c:showDLblsOverMax val="0"/>
  </c:chart>
  <c:spPr>
    <a:solidFill>
      <a:schemeClr val="bg1"/>
    </a:solidFill>
    <a:ln>
      <a:noFill/>
    </a:ln>
  </c:spPr>
  <c:printSettings>
    <c:headerFooter/>
    <c:pageMargins b="0.75" l="0.7" r="0.7" t="0.75" header="0.3" footer="0.3"/>
    <c:pageSetup paperSize="9" orientation="landscape" horizontalDpi="-3" verticalDpi="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radarChart>
        <c:radarStyle val="filled"/>
        <c:varyColors val="0"/>
        <c:ser>
          <c:idx val="0"/>
          <c:order val="0"/>
          <c:tx>
            <c:strRef>
              <c:f>'3'!$EV$4</c:f>
              <c:strCache>
                <c:ptCount val="1"/>
                <c:pt idx="0">
                  <c:v>0</c:v>
                </c:pt>
              </c:strCache>
            </c:strRef>
          </c:tx>
          <c:spPr>
            <a:solidFill>
              <a:srgbClr val="FF0000"/>
            </a:solidFill>
            <a:ln>
              <a:solidFill>
                <a:srgbClr val="FF0000"/>
              </a:solidFill>
            </a:ln>
          </c:spPr>
          <c:cat>
            <c:strRef>
              <c:f>'3'!$EU$5:$EU$13</c:f>
              <c:strCache>
                <c:ptCount val="9"/>
                <c:pt idx="0">
                  <c:v>Implementor</c:v>
                </c:pt>
                <c:pt idx="1">
                  <c:v>Coordinator</c:v>
                </c:pt>
                <c:pt idx="2">
                  <c:v>Shaper</c:v>
                </c:pt>
                <c:pt idx="3">
                  <c:v>Plant</c:v>
                </c:pt>
                <c:pt idx="4">
                  <c:v>Resource Investigator</c:v>
                </c:pt>
                <c:pt idx="5">
                  <c:v>Monitor Evaluator</c:v>
                </c:pt>
                <c:pt idx="6">
                  <c:v>Team Worker</c:v>
                </c:pt>
                <c:pt idx="7">
                  <c:v>Complete Finisher</c:v>
                </c:pt>
                <c:pt idx="8">
                  <c:v>Specialist</c:v>
                </c:pt>
              </c:strCache>
            </c:strRef>
          </c:cat>
          <c:val>
            <c:numRef>
              <c:f>'3'!$EV$5:$EV$13</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A29F-4E62-B57F-E0B76C7B10B7}"/>
            </c:ext>
          </c:extLst>
        </c:ser>
        <c:dLbls>
          <c:showLegendKey val="0"/>
          <c:showVal val="0"/>
          <c:showCatName val="0"/>
          <c:showSerName val="0"/>
          <c:showPercent val="0"/>
          <c:showBubbleSize val="0"/>
        </c:dLbls>
        <c:axId val="134380928"/>
        <c:axId val="134386816"/>
      </c:radarChart>
      <c:catAx>
        <c:axId val="134380928"/>
        <c:scaling>
          <c:orientation val="minMax"/>
        </c:scaling>
        <c:delete val="0"/>
        <c:axPos val="b"/>
        <c:majorGridlines/>
        <c:numFmt formatCode="General" sourceLinked="0"/>
        <c:majorTickMark val="out"/>
        <c:minorTickMark val="none"/>
        <c:tickLblPos val="nextTo"/>
        <c:crossAx val="134386816"/>
        <c:crosses val="autoZero"/>
        <c:auto val="1"/>
        <c:lblAlgn val="ctr"/>
        <c:lblOffset val="100"/>
        <c:noMultiLvlLbl val="0"/>
      </c:catAx>
      <c:valAx>
        <c:axId val="134386816"/>
        <c:scaling>
          <c:orientation val="minMax"/>
        </c:scaling>
        <c:delete val="0"/>
        <c:axPos val="l"/>
        <c:majorGridlines/>
        <c:numFmt formatCode="General" sourceLinked="1"/>
        <c:majorTickMark val="cross"/>
        <c:minorTickMark val="none"/>
        <c:tickLblPos val="nextTo"/>
        <c:crossAx val="134380928"/>
        <c:crosses val="autoZero"/>
        <c:crossBetween val="between"/>
      </c:valAx>
      <c:spPr>
        <a:solidFill>
          <a:schemeClr val="bg1"/>
        </a:solidFill>
      </c:spPr>
    </c:plotArea>
    <c:plotVisOnly val="1"/>
    <c:dispBlanksAs val="gap"/>
    <c:showDLblsOverMax val="0"/>
  </c:chart>
  <c:spPr>
    <a:solidFill>
      <a:schemeClr val="bg1"/>
    </a:solidFill>
    <a:ln>
      <a:noFill/>
    </a:ln>
  </c:spPr>
  <c:printSettings>
    <c:headerFooter/>
    <c:pageMargins b="0.75" l="0.7" r="0.7" t="0.75" header="0.3" footer="0.3"/>
    <c:pageSetup paperSize="9" orientation="landscape" horizontalDpi="-3" verticalDpi="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radarChart>
        <c:radarStyle val="filled"/>
        <c:varyColors val="0"/>
        <c:ser>
          <c:idx val="0"/>
          <c:order val="0"/>
          <c:tx>
            <c:strRef>
              <c:f>'4'!$EV$4</c:f>
              <c:strCache>
                <c:ptCount val="1"/>
                <c:pt idx="0">
                  <c:v>0</c:v>
                </c:pt>
              </c:strCache>
            </c:strRef>
          </c:tx>
          <c:spPr>
            <a:solidFill>
              <a:srgbClr val="008000"/>
            </a:solidFill>
            <a:ln>
              <a:solidFill>
                <a:srgbClr val="008000"/>
              </a:solidFill>
            </a:ln>
          </c:spPr>
          <c:cat>
            <c:strRef>
              <c:f>'4'!$EU$5:$EU$13</c:f>
              <c:strCache>
                <c:ptCount val="9"/>
                <c:pt idx="0">
                  <c:v>Implementor</c:v>
                </c:pt>
                <c:pt idx="1">
                  <c:v>Coordinator</c:v>
                </c:pt>
                <c:pt idx="2">
                  <c:v>Shaper</c:v>
                </c:pt>
                <c:pt idx="3">
                  <c:v>Plant</c:v>
                </c:pt>
                <c:pt idx="4">
                  <c:v>Resource Investigator</c:v>
                </c:pt>
                <c:pt idx="5">
                  <c:v>Monitor Evaluator</c:v>
                </c:pt>
                <c:pt idx="6">
                  <c:v>Team Worker</c:v>
                </c:pt>
                <c:pt idx="7">
                  <c:v>Complete Finisher</c:v>
                </c:pt>
                <c:pt idx="8">
                  <c:v>Specialist</c:v>
                </c:pt>
              </c:strCache>
            </c:strRef>
          </c:cat>
          <c:val>
            <c:numRef>
              <c:f>'4'!$EV$5:$EV$13</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3DB8-4B5F-856A-583110759989}"/>
            </c:ext>
          </c:extLst>
        </c:ser>
        <c:dLbls>
          <c:showLegendKey val="0"/>
          <c:showVal val="0"/>
          <c:showCatName val="0"/>
          <c:showSerName val="0"/>
          <c:showPercent val="0"/>
          <c:showBubbleSize val="0"/>
        </c:dLbls>
        <c:axId val="135155712"/>
        <c:axId val="135157248"/>
      </c:radarChart>
      <c:catAx>
        <c:axId val="135155712"/>
        <c:scaling>
          <c:orientation val="minMax"/>
        </c:scaling>
        <c:delete val="0"/>
        <c:axPos val="b"/>
        <c:majorGridlines/>
        <c:numFmt formatCode="General" sourceLinked="0"/>
        <c:majorTickMark val="out"/>
        <c:minorTickMark val="none"/>
        <c:tickLblPos val="nextTo"/>
        <c:crossAx val="135157248"/>
        <c:crosses val="autoZero"/>
        <c:auto val="1"/>
        <c:lblAlgn val="ctr"/>
        <c:lblOffset val="100"/>
        <c:noMultiLvlLbl val="0"/>
      </c:catAx>
      <c:valAx>
        <c:axId val="135157248"/>
        <c:scaling>
          <c:orientation val="minMax"/>
        </c:scaling>
        <c:delete val="0"/>
        <c:axPos val="l"/>
        <c:majorGridlines/>
        <c:numFmt formatCode="General" sourceLinked="1"/>
        <c:majorTickMark val="cross"/>
        <c:minorTickMark val="none"/>
        <c:tickLblPos val="nextTo"/>
        <c:crossAx val="135155712"/>
        <c:crosses val="autoZero"/>
        <c:crossBetween val="between"/>
      </c:valAx>
      <c:spPr>
        <a:solidFill>
          <a:schemeClr val="bg1"/>
        </a:solidFill>
      </c:spPr>
    </c:plotArea>
    <c:plotVisOnly val="1"/>
    <c:dispBlanksAs val="gap"/>
    <c:showDLblsOverMax val="0"/>
  </c:chart>
  <c:spPr>
    <a:solidFill>
      <a:schemeClr val="bg1"/>
    </a:solidFill>
    <a:ln>
      <a:noFill/>
    </a:ln>
  </c:spPr>
  <c:printSettings>
    <c:headerFooter/>
    <c:pageMargins b="0.75" l="0.7" r="0.7" t="0.75" header="0.3" footer="0.3"/>
    <c:pageSetup paperSize="9" orientation="landscape" horizontalDpi="-3" verticalDpi="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radarChart>
        <c:radarStyle val="filled"/>
        <c:varyColors val="0"/>
        <c:ser>
          <c:idx val="0"/>
          <c:order val="0"/>
          <c:tx>
            <c:strRef>
              <c:f>'5'!$EV$4</c:f>
              <c:strCache>
                <c:ptCount val="1"/>
                <c:pt idx="0">
                  <c:v>0</c:v>
                </c:pt>
              </c:strCache>
            </c:strRef>
          </c:tx>
          <c:spPr>
            <a:solidFill>
              <a:schemeClr val="accent6"/>
            </a:solidFill>
            <a:ln>
              <a:solidFill>
                <a:schemeClr val="accent6"/>
              </a:solidFill>
            </a:ln>
          </c:spPr>
          <c:cat>
            <c:strRef>
              <c:f>'5'!$EU$5:$EU$13</c:f>
              <c:strCache>
                <c:ptCount val="9"/>
                <c:pt idx="0">
                  <c:v>Implementor</c:v>
                </c:pt>
                <c:pt idx="1">
                  <c:v>Coordinator</c:v>
                </c:pt>
                <c:pt idx="2">
                  <c:v>Shaper</c:v>
                </c:pt>
                <c:pt idx="3">
                  <c:v>Plant</c:v>
                </c:pt>
                <c:pt idx="4">
                  <c:v>Resource Investigator</c:v>
                </c:pt>
                <c:pt idx="5">
                  <c:v>Monitor Evaluator</c:v>
                </c:pt>
                <c:pt idx="6">
                  <c:v>Team Worker</c:v>
                </c:pt>
                <c:pt idx="7">
                  <c:v>Complete Finisher</c:v>
                </c:pt>
                <c:pt idx="8">
                  <c:v>Specialist</c:v>
                </c:pt>
              </c:strCache>
            </c:strRef>
          </c:cat>
          <c:val>
            <c:numRef>
              <c:f>'5'!$EV$5:$EV$13</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EEC3-4F85-BA45-8A2B95854CBB}"/>
            </c:ext>
          </c:extLst>
        </c:ser>
        <c:dLbls>
          <c:showLegendKey val="0"/>
          <c:showVal val="0"/>
          <c:showCatName val="0"/>
          <c:showSerName val="0"/>
          <c:showPercent val="0"/>
          <c:showBubbleSize val="0"/>
        </c:dLbls>
        <c:axId val="136190976"/>
        <c:axId val="136246016"/>
      </c:radarChart>
      <c:catAx>
        <c:axId val="136190976"/>
        <c:scaling>
          <c:orientation val="minMax"/>
        </c:scaling>
        <c:delete val="0"/>
        <c:axPos val="b"/>
        <c:majorGridlines/>
        <c:numFmt formatCode="General" sourceLinked="0"/>
        <c:majorTickMark val="out"/>
        <c:minorTickMark val="none"/>
        <c:tickLblPos val="nextTo"/>
        <c:crossAx val="136246016"/>
        <c:crosses val="autoZero"/>
        <c:auto val="1"/>
        <c:lblAlgn val="ctr"/>
        <c:lblOffset val="100"/>
        <c:noMultiLvlLbl val="0"/>
      </c:catAx>
      <c:valAx>
        <c:axId val="136246016"/>
        <c:scaling>
          <c:orientation val="minMax"/>
        </c:scaling>
        <c:delete val="0"/>
        <c:axPos val="l"/>
        <c:majorGridlines/>
        <c:numFmt formatCode="General" sourceLinked="1"/>
        <c:majorTickMark val="cross"/>
        <c:minorTickMark val="none"/>
        <c:tickLblPos val="nextTo"/>
        <c:crossAx val="136190976"/>
        <c:crosses val="autoZero"/>
        <c:crossBetween val="between"/>
      </c:valAx>
      <c:spPr>
        <a:solidFill>
          <a:schemeClr val="bg1"/>
        </a:solidFill>
      </c:spPr>
    </c:plotArea>
    <c:plotVisOnly val="1"/>
    <c:dispBlanksAs val="gap"/>
    <c:showDLblsOverMax val="0"/>
  </c:chart>
  <c:spPr>
    <a:solidFill>
      <a:schemeClr val="bg1"/>
    </a:solidFill>
    <a:ln>
      <a:noFill/>
    </a:ln>
  </c:spPr>
  <c:printSettings>
    <c:headerFooter/>
    <c:pageMargins b="0.75" l="0.7" r="0.7" t="0.75" header="0.3" footer="0.3"/>
    <c:pageSetup paperSize="9" orientation="landscape" horizontalDpi="-3" verticalDpi="0"/>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radarChart>
        <c:radarStyle val="filled"/>
        <c:varyColors val="0"/>
        <c:ser>
          <c:idx val="0"/>
          <c:order val="0"/>
          <c:tx>
            <c:strRef>
              <c:f>'6'!$EV$4</c:f>
              <c:strCache>
                <c:ptCount val="1"/>
                <c:pt idx="0">
                  <c:v>0</c:v>
                </c:pt>
              </c:strCache>
            </c:strRef>
          </c:tx>
          <c:spPr>
            <a:solidFill>
              <a:srgbClr val="FFC000"/>
            </a:solidFill>
            <a:ln>
              <a:solidFill>
                <a:srgbClr val="FFC000"/>
              </a:solidFill>
            </a:ln>
          </c:spPr>
          <c:cat>
            <c:strRef>
              <c:f>'6'!$EU$5:$EU$13</c:f>
              <c:strCache>
                <c:ptCount val="9"/>
                <c:pt idx="0">
                  <c:v>Implementor</c:v>
                </c:pt>
                <c:pt idx="1">
                  <c:v>Coordinator</c:v>
                </c:pt>
                <c:pt idx="2">
                  <c:v>Shaper</c:v>
                </c:pt>
                <c:pt idx="3">
                  <c:v>Plant</c:v>
                </c:pt>
                <c:pt idx="4">
                  <c:v>Resource Investigator</c:v>
                </c:pt>
                <c:pt idx="5">
                  <c:v>Monitor Evaluator</c:v>
                </c:pt>
                <c:pt idx="6">
                  <c:v>Team Worker</c:v>
                </c:pt>
                <c:pt idx="7">
                  <c:v>Complete Finisher</c:v>
                </c:pt>
                <c:pt idx="8">
                  <c:v>Specialist</c:v>
                </c:pt>
              </c:strCache>
            </c:strRef>
          </c:cat>
          <c:val>
            <c:numRef>
              <c:f>'6'!$EV$5:$EV$13</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75CF-4C1A-B720-3830AF8909FC}"/>
            </c:ext>
          </c:extLst>
        </c:ser>
        <c:dLbls>
          <c:showLegendKey val="0"/>
          <c:showVal val="0"/>
          <c:showCatName val="0"/>
          <c:showSerName val="0"/>
          <c:showPercent val="0"/>
          <c:showBubbleSize val="0"/>
        </c:dLbls>
        <c:axId val="135630848"/>
        <c:axId val="135632384"/>
      </c:radarChart>
      <c:catAx>
        <c:axId val="135630848"/>
        <c:scaling>
          <c:orientation val="minMax"/>
        </c:scaling>
        <c:delete val="0"/>
        <c:axPos val="b"/>
        <c:majorGridlines/>
        <c:numFmt formatCode="General" sourceLinked="0"/>
        <c:majorTickMark val="out"/>
        <c:minorTickMark val="none"/>
        <c:tickLblPos val="nextTo"/>
        <c:crossAx val="135632384"/>
        <c:crosses val="autoZero"/>
        <c:auto val="1"/>
        <c:lblAlgn val="ctr"/>
        <c:lblOffset val="100"/>
        <c:noMultiLvlLbl val="0"/>
      </c:catAx>
      <c:valAx>
        <c:axId val="135632384"/>
        <c:scaling>
          <c:orientation val="minMax"/>
        </c:scaling>
        <c:delete val="0"/>
        <c:axPos val="l"/>
        <c:majorGridlines/>
        <c:numFmt formatCode="General" sourceLinked="1"/>
        <c:majorTickMark val="cross"/>
        <c:minorTickMark val="none"/>
        <c:tickLblPos val="nextTo"/>
        <c:crossAx val="135630848"/>
        <c:crosses val="autoZero"/>
        <c:crossBetween val="between"/>
      </c:valAx>
      <c:spPr>
        <a:solidFill>
          <a:schemeClr val="bg1"/>
        </a:solidFill>
      </c:spPr>
    </c:plotArea>
    <c:plotVisOnly val="1"/>
    <c:dispBlanksAs val="gap"/>
    <c:showDLblsOverMax val="0"/>
  </c:chart>
  <c:spPr>
    <a:solidFill>
      <a:schemeClr val="bg1"/>
    </a:solidFill>
    <a:ln>
      <a:noFill/>
    </a:ln>
  </c:spPr>
  <c:printSettings>
    <c:headerFooter/>
    <c:pageMargins b="0.75" l="0.7" r="0.7" t="0.75" header="0.3" footer="0.3"/>
    <c:pageSetup paperSize="9" orientation="landscape" horizontalDpi="-3" verticalDpi="0"/>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radarChart>
        <c:radarStyle val="filled"/>
        <c:varyColors val="0"/>
        <c:ser>
          <c:idx val="0"/>
          <c:order val="0"/>
          <c:tx>
            <c:strRef>
              <c:f>'7'!$EV$4</c:f>
              <c:strCache>
                <c:ptCount val="1"/>
                <c:pt idx="0">
                  <c:v>0</c:v>
                </c:pt>
              </c:strCache>
            </c:strRef>
          </c:tx>
          <c:spPr>
            <a:solidFill>
              <a:schemeClr val="accent2">
                <a:lumMod val="50000"/>
              </a:schemeClr>
            </a:solidFill>
            <a:ln>
              <a:solidFill>
                <a:schemeClr val="accent2">
                  <a:lumMod val="50000"/>
                </a:schemeClr>
              </a:solidFill>
            </a:ln>
          </c:spPr>
          <c:cat>
            <c:strRef>
              <c:f>'7'!$EU$5:$EU$13</c:f>
              <c:strCache>
                <c:ptCount val="9"/>
                <c:pt idx="0">
                  <c:v>Implementor</c:v>
                </c:pt>
                <c:pt idx="1">
                  <c:v>Coordinator</c:v>
                </c:pt>
                <c:pt idx="2">
                  <c:v>Shaper</c:v>
                </c:pt>
                <c:pt idx="3">
                  <c:v>Plant</c:v>
                </c:pt>
                <c:pt idx="4">
                  <c:v>Resource Investigator</c:v>
                </c:pt>
                <c:pt idx="5">
                  <c:v>Monitor Evaluator</c:v>
                </c:pt>
                <c:pt idx="6">
                  <c:v>Team Worker</c:v>
                </c:pt>
                <c:pt idx="7">
                  <c:v>Complete Finisher</c:v>
                </c:pt>
                <c:pt idx="8">
                  <c:v>Specialist</c:v>
                </c:pt>
              </c:strCache>
            </c:strRef>
          </c:cat>
          <c:val>
            <c:numRef>
              <c:f>'7'!$EV$5:$EV$13</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67B2-49B1-97CD-5D6D8047DB19}"/>
            </c:ext>
          </c:extLst>
        </c:ser>
        <c:dLbls>
          <c:showLegendKey val="0"/>
          <c:showVal val="0"/>
          <c:showCatName val="0"/>
          <c:showSerName val="0"/>
          <c:showPercent val="0"/>
          <c:showBubbleSize val="0"/>
        </c:dLbls>
        <c:axId val="136770304"/>
        <c:axId val="136771840"/>
      </c:radarChart>
      <c:catAx>
        <c:axId val="136770304"/>
        <c:scaling>
          <c:orientation val="minMax"/>
        </c:scaling>
        <c:delete val="0"/>
        <c:axPos val="b"/>
        <c:majorGridlines/>
        <c:numFmt formatCode="General" sourceLinked="0"/>
        <c:majorTickMark val="out"/>
        <c:minorTickMark val="none"/>
        <c:tickLblPos val="nextTo"/>
        <c:crossAx val="136771840"/>
        <c:crosses val="autoZero"/>
        <c:auto val="1"/>
        <c:lblAlgn val="ctr"/>
        <c:lblOffset val="100"/>
        <c:noMultiLvlLbl val="0"/>
      </c:catAx>
      <c:valAx>
        <c:axId val="136771840"/>
        <c:scaling>
          <c:orientation val="minMax"/>
        </c:scaling>
        <c:delete val="0"/>
        <c:axPos val="l"/>
        <c:majorGridlines/>
        <c:numFmt formatCode="General" sourceLinked="1"/>
        <c:majorTickMark val="cross"/>
        <c:minorTickMark val="none"/>
        <c:tickLblPos val="nextTo"/>
        <c:crossAx val="136770304"/>
        <c:crosses val="autoZero"/>
        <c:crossBetween val="between"/>
      </c:valAx>
      <c:spPr>
        <a:solidFill>
          <a:schemeClr val="bg1"/>
        </a:solidFill>
      </c:spPr>
    </c:plotArea>
    <c:plotVisOnly val="1"/>
    <c:dispBlanksAs val="gap"/>
    <c:showDLblsOverMax val="0"/>
  </c:chart>
  <c:spPr>
    <a:solidFill>
      <a:schemeClr val="bg1"/>
    </a:solidFill>
    <a:ln>
      <a:noFill/>
    </a:ln>
  </c:spPr>
  <c:printSettings>
    <c:headerFooter/>
    <c:pageMargins b="0.75" l="0.7" r="0.7" t="0.75" header="0.3" footer="0.3"/>
    <c:pageSetup paperSize="9" orientation="landscape" horizontalDpi="-3" verticalDpi="0"/>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radarChart>
        <c:radarStyle val="filled"/>
        <c:varyColors val="0"/>
        <c:ser>
          <c:idx val="0"/>
          <c:order val="0"/>
          <c:tx>
            <c:strRef>
              <c:f>'8'!$EV$4</c:f>
              <c:strCache>
                <c:ptCount val="1"/>
                <c:pt idx="0">
                  <c:v>0</c:v>
                </c:pt>
              </c:strCache>
            </c:strRef>
          </c:tx>
          <c:spPr>
            <a:solidFill>
              <a:schemeClr val="tx2">
                <a:lumMod val="50000"/>
              </a:schemeClr>
            </a:solidFill>
            <a:ln>
              <a:solidFill>
                <a:schemeClr val="tx2">
                  <a:lumMod val="50000"/>
                </a:schemeClr>
              </a:solidFill>
            </a:ln>
          </c:spPr>
          <c:cat>
            <c:strRef>
              <c:f>'8'!$EU$5:$EU$13</c:f>
              <c:strCache>
                <c:ptCount val="9"/>
                <c:pt idx="0">
                  <c:v>Implementor</c:v>
                </c:pt>
                <c:pt idx="1">
                  <c:v>Coordinator</c:v>
                </c:pt>
                <c:pt idx="2">
                  <c:v>Shaper</c:v>
                </c:pt>
                <c:pt idx="3">
                  <c:v>Plant</c:v>
                </c:pt>
                <c:pt idx="4">
                  <c:v>Resource Investigator</c:v>
                </c:pt>
                <c:pt idx="5">
                  <c:v>Monitor Evaluator</c:v>
                </c:pt>
                <c:pt idx="6">
                  <c:v>Team Worker</c:v>
                </c:pt>
                <c:pt idx="7">
                  <c:v>Complete Finisher</c:v>
                </c:pt>
                <c:pt idx="8">
                  <c:v>Specialist</c:v>
                </c:pt>
              </c:strCache>
            </c:strRef>
          </c:cat>
          <c:val>
            <c:numRef>
              <c:f>'8'!$EV$5:$EV$13</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98BA-4EF1-90EC-896502A5AF5C}"/>
            </c:ext>
          </c:extLst>
        </c:ser>
        <c:dLbls>
          <c:showLegendKey val="0"/>
          <c:showVal val="0"/>
          <c:showCatName val="0"/>
          <c:showSerName val="0"/>
          <c:showPercent val="0"/>
          <c:showBubbleSize val="0"/>
        </c:dLbls>
        <c:axId val="137463296"/>
        <c:axId val="137464832"/>
      </c:radarChart>
      <c:catAx>
        <c:axId val="137463296"/>
        <c:scaling>
          <c:orientation val="minMax"/>
        </c:scaling>
        <c:delete val="0"/>
        <c:axPos val="b"/>
        <c:majorGridlines/>
        <c:numFmt formatCode="General" sourceLinked="0"/>
        <c:majorTickMark val="out"/>
        <c:minorTickMark val="none"/>
        <c:tickLblPos val="nextTo"/>
        <c:crossAx val="137464832"/>
        <c:crosses val="autoZero"/>
        <c:auto val="1"/>
        <c:lblAlgn val="ctr"/>
        <c:lblOffset val="100"/>
        <c:noMultiLvlLbl val="0"/>
      </c:catAx>
      <c:valAx>
        <c:axId val="137464832"/>
        <c:scaling>
          <c:orientation val="minMax"/>
        </c:scaling>
        <c:delete val="0"/>
        <c:axPos val="l"/>
        <c:majorGridlines/>
        <c:numFmt formatCode="General" sourceLinked="1"/>
        <c:majorTickMark val="cross"/>
        <c:minorTickMark val="none"/>
        <c:tickLblPos val="nextTo"/>
        <c:crossAx val="137463296"/>
        <c:crosses val="autoZero"/>
        <c:crossBetween val="between"/>
      </c:valAx>
      <c:spPr>
        <a:solidFill>
          <a:schemeClr val="bg1"/>
        </a:solidFill>
      </c:spPr>
    </c:plotArea>
    <c:plotVisOnly val="1"/>
    <c:dispBlanksAs val="gap"/>
    <c:showDLblsOverMax val="0"/>
  </c:chart>
  <c:spPr>
    <a:solidFill>
      <a:schemeClr val="bg1"/>
    </a:solidFill>
    <a:ln>
      <a:noFill/>
    </a:ln>
  </c:spPr>
  <c:printSettings>
    <c:headerFooter/>
    <c:pageMargins b="0.75" l="0.7" r="0.7" t="0.75" header="0.3" footer="0.3"/>
    <c:pageSetup paperSize="9" orientation="landscape" horizontalDpi="-3" verticalDpi="0"/>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solidFill>
                  <a:schemeClr val="tx2"/>
                </a:solidFill>
              </a:defRPr>
            </a:pPr>
            <a:r>
              <a:rPr lang="nl-NL">
                <a:solidFill>
                  <a:schemeClr val="tx2"/>
                </a:solidFill>
              </a:rPr>
              <a:t>Belbin result team</a:t>
            </a:r>
          </a:p>
        </c:rich>
      </c:tx>
      <c:overlay val="0"/>
    </c:title>
    <c:autoTitleDeleted val="0"/>
    <c:plotArea>
      <c:layout/>
      <c:radarChart>
        <c:radarStyle val="marker"/>
        <c:varyColors val="0"/>
        <c:ser>
          <c:idx val="0"/>
          <c:order val="0"/>
          <c:tx>
            <c:strRef>
              <c:f>Graph!$B$1</c:f>
              <c:strCache>
                <c:ptCount val="1"/>
                <c:pt idx="0">
                  <c:v>SON CAO</c:v>
                </c:pt>
              </c:strCache>
            </c:strRef>
          </c:tx>
          <c:cat>
            <c:strRef>
              <c:f>Graph!$A$2:$A$10</c:f>
              <c:strCache>
                <c:ptCount val="9"/>
                <c:pt idx="0">
                  <c:v>Implementor</c:v>
                </c:pt>
                <c:pt idx="1">
                  <c:v>Coordinator</c:v>
                </c:pt>
                <c:pt idx="2">
                  <c:v>Shaper</c:v>
                </c:pt>
                <c:pt idx="3">
                  <c:v>Plant</c:v>
                </c:pt>
                <c:pt idx="4">
                  <c:v>Resource Investigator</c:v>
                </c:pt>
                <c:pt idx="5">
                  <c:v>Monitor Evaluator</c:v>
                </c:pt>
                <c:pt idx="6">
                  <c:v>Team Worker</c:v>
                </c:pt>
                <c:pt idx="7">
                  <c:v>Complete Finisher</c:v>
                </c:pt>
                <c:pt idx="8">
                  <c:v>Specialist</c:v>
                </c:pt>
              </c:strCache>
            </c:strRef>
          </c:cat>
          <c:val>
            <c:numRef>
              <c:f>Graph!$B$2:$B$10</c:f>
              <c:numCache>
                <c:formatCode>General</c:formatCode>
                <c:ptCount val="9"/>
                <c:pt idx="0">
                  <c:v>2</c:v>
                </c:pt>
                <c:pt idx="1">
                  <c:v>1</c:v>
                </c:pt>
                <c:pt idx="2">
                  <c:v>0</c:v>
                </c:pt>
                <c:pt idx="3">
                  <c:v>1</c:v>
                </c:pt>
                <c:pt idx="4">
                  <c:v>2</c:v>
                </c:pt>
                <c:pt idx="5">
                  <c:v>0</c:v>
                </c:pt>
                <c:pt idx="6">
                  <c:v>1</c:v>
                </c:pt>
                <c:pt idx="7">
                  <c:v>2</c:v>
                </c:pt>
                <c:pt idx="8">
                  <c:v>1</c:v>
                </c:pt>
              </c:numCache>
            </c:numRef>
          </c:val>
          <c:extLst>
            <c:ext xmlns:c16="http://schemas.microsoft.com/office/drawing/2014/chart" uri="{C3380CC4-5D6E-409C-BE32-E72D297353CC}">
              <c16:uniqueId val="{00000000-75BB-407B-8E19-FC180513BAC1}"/>
            </c:ext>
          </c:extLst>
        </c:ser>
        <c:ser>
          <c:idx val="1"/>
          <c:order val="1"/>
          <c:tx>
            <c:strRef>
              <c:f>Graph!$C$1</c:f>
              <c:strCache>
                <c:ptCount val="1"/>
              </c:strCache>
            </c:strRef>
          </c:tx>
          <c:spPr>
            <a:ln>
              <a:solidFill>
                <a:schemeClr val="accent3"/>
              </a:solidFill>
            </a:ln>
          </c:spPr>
          <c:marker>
            <c:spPr>
              <a:solidFill>
                <a:schemeClr val="accent3"/>
              </a:solidFill>
              <a:ln>
                <a:solidFill>
                  <a:schemeClr val="accent3"/>
                </a:solidFill>
              </a:ln>
            </c:spPr>
          </c:marker>
          <c:cat>
            <c:strRef>
              <c:f>Graph!$A$2:$A$10</c:f>
              <c:strCache>
                <c:ptCount val="9"/>
                <c:pt idx="0">
                  <c:v>Implementor</c:v>
                </c:pt>
                <c:pt idx="1">
                  <c:v>Coordinator</c:v>
                </c:pt>
                <c:pt idx="2">
                  <c:v>Shaper</c:v>
                </c:pt>
                <c:pt idx="3">
                  <c:v>Plant</c:v>
                </c:pt>
                <c:pt idx="4">
                  <c:v>Resource Investigator</c:v>
                </c:pt>
                <c:pt idx="5">
                  <c:v>Monitor Evaluator</c:v>
                </c:pt>
                <c:pt idx="6">
                  <c:v>Team Worker</c:v>
                </c:pt>
                <c:pt idx="7">
                  <c:v>Complete Finisher</c:v>
                </c:pt>
                <c:pt idx="8">
                  <c:v>Specialist</c:v>
                </c:pt>
              </c:strCache>
            </c:strRef>
          </c:cat>
          <c:val>
            <c:numRef>
              <c:f>Graph!$C$2:$C$10</c:f>
              <c:numCache>
                <c:formatCode>General</c:formatCode>
                <c:ptCount val="9"/>
                <c:pt idx="0">
                  <c:v>11</c:v>
                </c:pt>
                <c:pt idx="1">
                  <c:v>7</c:v>
                </c:pt>
                <c:pt idx="2">
                  <c:v>6</c:v>
                </c:pt>
                <c:pt idx="3">
                  <c:v>8</c:v>
                </c:pt>
                <c:pt idx="4">
                  <c:v>7</c:v>
                </c:pt>
                <c:pt idx="5">
                  <c:v>7</c:v>
                </c:pt>
                <c:pt idx="6">
                  <c:v>9</c:v>
                </c:pt>
                <c:pt idx="7">
                  <c:v>9</c:v>
                </c:pt>
                <c:pt idx="8">
                  <c:v>6</c:v>
                </c:pt>
              </c:numCache>
            </c:numRef>
          </c:val>
          <c:extLst>
            <c:ext xmlns:c16="http://schemas.microsoft.com/office/drawing/2014/chart" uri="{C3380CC4-5D6E-409C-BE32-E72D297353CC}">
              <c16:uniqueId val="{00000001-75BB-407B-8E19-FC180513BAC1}"/>
            </c:ext>
          </c:extLst>
        </c:ser>
        <c:ser>
          <c:idx val="2"/>
          <c:order val="2"/>
          <c:tx>
            <c:strRef>
              <c:f>Graph!$D$1</c:f>
              <c:strCache>
                <c:ptCount val="1"/>
              </c:strCache>
            </c:strRef>
          </c:tx>
          <c:spPr>
            <a:ln>
              <a:solidFill>
                <a:srgbClr val="FF0000"/>
              </a:solidFill>
            </a:ln>
          </c:spPr>
          <c:marker>
            <c:spPr>
              <a:solidFill>
                <a:srgbClr val="FF0000"/>
              </a:solidFill>
              <a:ln>
                <a:solidFill>
                  <a:srgbClr val="FF0000"/>
                </a:solidFill>
              </a:ln>
            </c:spPr>
          </c:marker>
          <c:cat>
            <c:strRef>
              <c:f>Graph!$A$2:$A$10</c:f>
              <c:strCache>
                <c:ptCount val="9"/>
                <c:pt idx="0">
                  <c:v>Implementor</c:v>
                </c:pt>
                <c:pt idx="1">
                  <c:v>Coordinator</c:v>
                </c:pt>
                <c:pt idx="2">
                  <c:v>Shaper</c:v>
                </c:pt>
                <c:pt idx="3">
                  <c:v>Plant</c:v>
                </c:pt>
                <c:pt idx="4">
                  <c:v>Resource Investigator</c:v>
                </c:pt>
                <c:pt idx="5">
                  <c:v>Monitor Evaluator</c:v>
                </c:pt>
                <c:pt idx="6">
                  <c:v>Team Worker</c:v>
                </c:pt>
                <c:pt idx="7">
                  <c:v>Complete Finisher</c:v>
                </c:pt>
                <c:pt idx="8">
                  <c:v>Specialist</c:v>
                </c:pt>
              </c:strCache>
            </c:strRef>
          </c:cat>
          <c:val>
            <c:numRef>
              <c:f>Graph!$D$2:$D$10</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2-75BB-407B-8E19-FC180513BAC1}"/>
            </c:ext>
          </c:extLst>
        </c:ser>
        <c:ser>
          <c:idx val="3"/>
          <c:order val="3"/>
          <c:tx>
            <c:strRef>
              <c:f>Graph!$E$1</c:f>
              <c:strCache>
                <c:ptCount val="1"/>
              </c:strCache>
            </c:strRef>
          </c:tx>
          <c:spPr>
            <a:ln>
              <a:solidFill>
                <a:srgbClr val="008000"/>
              </a:solidFill>
            </a:ln>
          </c:spPr>
          <c:marker>
            <c:symbol val="square"/>
            <c:size val="8"/>
            <c:spPr>
              <a:noFill/>
              <a:ln>
                <a:solidFill>
                  <a:srgbClr val="008000"/>
                </a:solidFill>
              </a:ln>
            </c:spPr>
          </c:marker>
          <c:cat>
            <c:strRef>
              <c:f>Graph!$A$2:$A$10</c:f>
              <c:strCache>
                <c:ptCount val="9"/>
                <c:pt idx="0">
                  <c:v>Implementor</c:v>
                </c:pt>
                <c:pt idx="1">
                  <c:v>Coordinator</c:v>
                </c:pt>
                <c:pt idx="2">
                  <c:v>Shaper</c:v>
                </c:pt>
                <c:pt idx="3">
                  <c:v>Plant</c:v>
                </c:pt>
                <c:pt idx="4">
                  <c:v>Resource Investigator</c:v>
                </c:pt>
                <c:pt idx="5">
                  <c:v>Monitor Evaluator</c:v>
                </c:pt>
                <c:pt idx="6">
                  <c:v>Team Worker</c:v>
                </c:pt>
                <c:pt idx="7">
                  <c:v>Complete Finisher</c:v>
                </c:pt>
                <c:pt idx="8">
                  <c:v>Specialist</c:v>
                </c:pt>
              </c:strCache>
            </c:strRef>
          </c:cat>
          <c:val>
            <c:numRef>
              <c:f>Graph!$E$2:$E$10</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3-75BB-407B-8E19-FC180513BAC1}"/>
            </c:ext>
          </c:extLst>
        </c:ser>
        <c:ser>
          <c:idx val="4"/>
          <c:order val="4"/>
          <c:tx>
            <c:strRef>
              <c:f>Graph!$F$1</c:f>
              <c:strCache>
                <c:ptCount val="1"/>
              </c:strCache>
            </c:strRef>
          </c:tx>
          <c:spPr>
            <a:ln>
              <a:solidFill>
                <a:schemeClr val="accent6"/>
              </a:solidFill>
            </a:ln>
          </c:spPr>
          <c:marker>
            <c:spPr>
              <a:solidFill>
                <a:schemeClr val="accent6"/>
              </a:solidFill>
              <a:ln>
                <a:solidFill>
                  <a:schemeClr val="accent6"/>
                </a:solidFill>
              </a:ln>
            </c:spPr>
          </c:marker>
          <c:cat>
            <c:strRef>
              <c:f>Graph!$A$2:$A$10</c:f>
              <c:strCache>
                <c:ptCount val="9"/>
                <c:pt idx="0">
                  <c:v>Implementor</c:v>
                </c:pt>
                <c:pt idx="1">
                  <c:v>Coordinator</c:v>
                </c:pt>
                <c:pt idx="2">
                  <c:v>Shaper</c:v>
                </c:pt>
                <c:pt idx="3">
                  <c:v>Plant</c:v>
                </c:pt>
                <c:pt idx="4">
                  <c:v>Resource Investigator</c:v>
                </c:pt>
                <c:pt idx="5">
                  <c:v>Monitor Evaluator</c:v>
                </c:pt>
                <c:pt idx="6">
                  <c:v>Team Worker</c:v>
                </c:pt>
                <c:pt idx="7">
                  <c:v>Complete Finisher</c:v>
                </c:pt>
                <c:pt idx="8">
                  <c:v>Specialist</c:v>
                </c:pt>
              </c:strCache>
            </c:strRef>
          </c:cat>
          <c:val>
            <c:numRef>
              <c:f>Graph!$F$2:$F$10</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4-75BB-407B-8E19-FC180513BAC1}"/>
            </c:ext>
          </c:extLst>
        </c:ser>
        <c:ser>
          <c:idx val="5"/>
          <c:order val="5"/>
          <c:tx>
            <c:strRef>
              <c:f>Graph!$G$1</c:f>
              <c:strCache>
                <c:ptCount val="1"/>
              </c:strCache>
            </c:strRef>
          </c:tx>
          <c:spPr>
            <a:ln>
              <a:solidFill>
                <a:srgbClr val="FFC000"/>
              </a:solidFill>
            </a:ln>
          </c:spPr>
          <c:marker>
            <c:symbol val="circle"/>
            <c:size val="7"/>
            <c:spPr>
              <a:solidFill>
                <a:srgbClr val="FFC000"/>
              </a:solidFill>
              <a:ln>
                <a:solidFill>
                  <a:srgbClr val="FFC000"/>
                </a:solidFill>
              </a:ln>
            </c:spPr>
          </c:marker>
          <c:cat>
            <c:strRef>
              <c:f>Graph!$A$2:$A$10</c:f>
              <c:strCache>
                <c:ptCount val="9"/>
                <c:pt idx="0">
                  <c:v>Implementor</c:v>
                </c:pt>
                <c:pt idx="1">
                  <c:v>Coordinator</c:v>
                </c:pt>
                <c:pt idx="2">
                  <c:v>Shaper</c:v>
                </c:pt>
                <c:pt idx="3">
                  <c:v>Plant</c:v>
                </c:pt>
                <c:pt idx="4">
                  <c:v>Resource Investigator</c:v>
                </c:pt>
                <c:pt idx="5">
                  <c:v>Monitor Evaluator</c:v>
                </c:pt>
                <c:pt idx="6">
                  <c:v>Team Worker</c:v>
                </c:pt>
                <c:pt idx="7">
                  <c:v>Complete Finisher</c:v>
                </c:pt>
                <c:pt idx="8">
                  <c:v>Specialist</c:v>
                </c:pt>
              </c:strCache>
            </c:strRef>
          </c:cat>
          <c:val>
            <c:numRef>
              <c:f>Graph!$G$2:$G$10</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5-75BB-407B-8E19-FC180513BAC1}"/>
            </c:ext>
          </c:extLst>
        </c:ser>
        <c:ser>
          <c:idx val="6"/>
          <c:order val="6"/>
          <c:tx>
            <c:strRef>
              <c:f>Graph!$H$1</c:f>
              <c:strCache>
                <c:ptCount val="1"/>
              </c:strCache>
            </c:strRef>
          </c:tx>
          <c:spPr>
            <a:ln>
              <a:solidFill>
                <a:schemeClr val="accent2">
                  <a:lumMod val="50000"/>
                </a:schemeClr>
              </a:solidFill>
            </a:ln>
          </c:spPr>
          <c:marker>
            <c:spPr>
              <a:solidFill>
                <a:schemeClr val="accent2">
                  <a:lumMod val="50000"/>
                </a:schemeClr>
              </a:solidFill>
              <a:ln>
                <a:solidFill>
                  <a:schemeClr val="accent2">
                    <a:lumMod val="50000"/>
                  </a:schemeClr>
                </a:solidFill>
              </a:ln>
            </c:spPr>
          </c:marker>
          <c:cat>
            <c:strRef>
              <c:f>Graph!$A$2:$A$10</c:f>
              <c:strCache>
                <c:ptCount val="9"/>
                <c:pt idx="0">
                  <c:v>Implementor</c:v>
                </c:pt>
                <c:pt idx="1">
                  <c:v>Coordinator</c:v>
                </c:pt>
                <c:pt idx="2">
                  <c:v>Shaper</c:v>
                </c:pt>
                <c:pt idx="3">
                  <c:v>Plant</c:v>
                </c:pt>
                <c:pt idx="4">
                  <c:v>Resource Investigator</c:v>
                </c:pt>
                <c:pt idx="5">
                  <c:v>Monitor Evaluator</c:v>
                </c:pt>
                <c:pt idx="6">
                  <c:v>Team Worker</c:v>
                </c:pt>
                <c:pt idx="7">
                  <c:v>Complete Finisher</c:v>
                </c:pt>
                <c:pt idx="8">
                  <c:v>Specialist</c:v>
                </c:pt>
              </c:strCache>
            </c:strRef>
          </c:cat>
          <c:val>
            <c:numRef>
              <c:f>Graph!$H$2:$H$10</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6-75BB-407B-8E19-FC180513BAC1}"/>
            </c:ext>
          </c:extLst>
        </c:ser>
        <c:ser>
          <c:idx val="7"/>
          <c:order val="7"/>
          <c:tx>
            <c:strRef>
              <c:f>Graph!$I$1</c:f>
              <c:strCache>
                <c:ptCount val="1"/>
              </c:strCache>
            </c:strRef>
          </c:tx>
          <c:spPr>
            <a:ln>
              <a:solidFill>
                <a:schemeClr val="tx2">
                  <a:lumMod val="50000"/>
                </a:schemeClr>
              </a:solidFill>
            </a:ln>
          </c:spPr>
          <c:marker>
            <c:symbol val="circle"/>
            <c:size val="8"/>
            <c:spPr>
              <a:noFill/>
              <a:ln>
                <a:solidFill>
                  <a:schemeClr val="tx2">
                    <a:lumMod val="50000"/>
                  </a:schemeClr>
                </a:solidFill>
              </a:ln>
            </c:spPr>
          </c:marker>
          <c:cat>
            <c:strRef>
              <c:f>Graph!$A$2:$A$10</c:f>
              <c:strCache>
                <c:ptCount val="9"/>
                <c:pt idx="0">
                  <c:v>Implementor</c:v>
                </c:pt>
                <c:pt idx="1">
                  <c:v>Coordinator</c:v>
                </c:pt>
                <c:pt idx="2">
                  <c:v>Shaper</c:v>
                </c:pt>
                <c:pt idx="3">
                  <c:v>Plant</c:v>
                </c:pt>
                <c:pt idx="4">
                  <c:v>Resource Investigator</c:v>
                </c:pt>
                <c:pt idx="5">
                  <c:v>Monitor Evaluator</c:v>
                </c:pt>
                <c:pt idx="6">
                  <c:v>Team Worker</c:v>
                </c:pt>
                <c:pt idx="7">
                  <c:v>Complete Finisher</c:v>
                </c:pt>
                <c:pt idx="8">
                  <c:v>Specialist</c:v>
                </c:pt>
              </c:strCache>
            </c:strRef>
          </c:cat>
          <c:val>
            <c:numRef>
              <c:f>Graph!$I$2:$I$10</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7-75BB-407B-8E19-FC180513BAC1}"/>
            </c:ext>
          </c:extLst>
        </c:ser>
        <c:dLbls>
          <c:showLegendKey val="0"/>
          <c:showVal val="0"/>
          <c:showCatName val="0"/>
          <c:showSerName val="0"/>
          <c:showPercent val="0"/>
          <c:showBubbleSize val="0"/>
        </c:dLbls>
        <c:axId val="137986048"/>
        <c:axId val="137987968"/>
      </c:radarChart>
      <c:catAx>
        <c:axId val="137986048"/>
        <c:scaling>
          <c:orientation val="minMax"/>
        </c:scaling>
        <c:delete val="0"/>
        <c:axPos val="b"/>
        <c:majorGridlines/>
        <c:numFmt formatCode="General" sourceLinked="0"/>
        <c:majorTickMark val="out"/>
        <c:minorTickMark val="none"/>
        <c:tickLblPos val="nextTo"/>
        <c:crossAx val="137987968"/>
        <c:crosses val="autoZero"/>
        <c:auto val="1"/>
        <c:lblAlgn val="ctr"/>
        <c:lblOffset val="100"/>
        <c:noMultiLvlLbl val="0"/>
      </c:catAx>
      <c:valAx>
        <c:axId val="137987968"/>
        <c:scaling>
          <c:orientation val="minMax"/>
        </c:scaling>
        <c:delete val="0"/>
        <c:axPos val="l"/>
        <c:majorGridlines/>
        <c:numFmt formatCode="General" sourceLinked="1"/>
        <c:majorTickMark val="cross"/>
        <c:minorTickMark val="none"/>
        <c:tickLblPos val="nextTo"/>
        <c:crossAx val="137986048"/>
        <c:crosses val="autoZero"/>
        <c:crossBetween val="between"/>
      </c:valAx>
      <c:spPr>
        <a:solidFill>
          <a:schemeClr val="bg1"/>
        </a:solidFill>
        <a:ln>
          <a:noFill/>
        </a:ln>
      </c:spPr>
    </c:plotArea>
    <c:legend>
      <c:legendPos val="r"/>
      <c:overlay val="0"/>
    </c:legend>
    <c:plotVisOnly val="1"/>
    <c:dispBlanksAs val="gap"/>
    <c:showDLblsOverMax val="0"/>
  </c:chart>
  <c:spPr>
    <a:solidFill>
      <a:schemeClr val="bg1"/>
    </a:solidFill>
    <a:ln>
      <a:noFill/>
    </a:ln>
  </c:spPr>
  <c:printSettings>
    <c:headerFooter/>
    <c:pageMargins b="0.75" l="0.7" r="0.7" t="0.75" header="0.3" footer="0.3"/>
    <c:pageSetup orientation="portrait"/>
  </c:printSettings>
</c:chartSpace>
</file>

<file path=xl/drawings/_rels/drawing2.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image" Target="../media/image12.jpeg"/><Relationship Id="rId18" Type="http://schemas.openxmlformats.org/officeDocument/2006/relationships/image" Target="../media/image17.jpeg"/><Relationship Id="rId3" Type="http://schemas.openxmlformats.org/officeDocument/2006/relationships/image" Target="../media/image3.jpeg"/><Relationship Id="rId7" Type="http://schemas.openxmlformats.org/officeDocument/2006/relationships/image" Target="../media/image7.jpeg"/><Relationship Id="rId12" Type="http://schemas.openxmlformats.org/officeDocument/2006/relationships/image" Target="../media/image11.jpeg"/><Relationship Id="rId17" Type="http://schemas.openxmlformats.org/officeDocument/2006/relationships/image" Target="../media/image16.jpeg"/><Relationship Id="rId2" Type="http://schemas.openxmlformats.org/officeDocument/2006/relationships/image" Target="../media/image2.jpeg"/><Relationship Id="rId16" Type="http://schemas.openxmlformats.org/officeDocument/2006/relationships/image" Target="../media/image15.jpeg"/><Relationship Id="rId1" Type="http://schemas.openxmlformats.org/officeDocument/2006/relationships/image" Target="../media/image1.jpeg"/><Relationship Id="rId6" Type="http://schemas.openxmlformats.org/officeDocument/2006/relationships/image" Target="../media/image6.jpeg"/><Relationship Id="rId11" Type="http://schemas.openxmlformats.org/officeDocument/2006/relationships/image" Target="../media/image10.jpeg"/><Relationship Id="rId5" Type="http://schemas.openxmlformats.org/officeDocument/2006/relationships/image" Target="../media/image5.jpeg"/><Relationship Id="rId15" Type="http://schemas.openxmlformats.org/officeDocument/2006/relationships/image" Target="../media/image14.jpeg"/><Relationship Id="rId10" Type="http://schemas.openxmlformats.org/officeDocument/2006/relationships/image" Target="../media/image9.jpeg"/><Relationship Id="rId4" Type="http://schemas.openxmlformats.org/officeDocument/2006/relationships/image" Target="../media/image4.jpeg"/><Relationship Id="rId9" Type="http://schemas.openxmlformats.org/officeDocument/2006/relationships/chart" Target="../charts/chart1.xml"/><Relationship Id="rId14" Type="http://schemas.openxmlformats.org/officeDocument/2006/relationships/image" Target="../media/image13.jpeg"/></Relationships>
</file>

<file path=xl/drawings/_rels/drawing3.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image" Target="../media/image12.jpeg"/><Relationship Id="rId18" Type="http://schemas.openxmlformats.org/officeDocument/2006/relationships/image" Target="../media/image17.jpeg"/><Relationship Id="rId3" Type="http://schemas.openxmlformats.org/officeDocument/2006/relationships/image" Target="../media/image3.jpeg"/><Relationship Id="rId7" Type="http://schemas.openxmlformats.org/officeDocument/2006/relationships/image" Target="../media/image7.jpeg"/><Relationship Id="rId12" Type="http://schemas.openxmlformats.org/officeDocument/2006/relationships/image" Target="../media/image11.jpeg"/><Relationship Id="rId17" Type="http://schemas.openxmlformats.org/officeDocument/2006/relationships/image" Target="../media/image16.jpeg"/><Relationship Id="rId2" Type="http://schemas.openxmlformats.org/officeDocument/2006/relationships/image" Target="../media/image2.jpeg"/><Relationship Id="rId16" Type="http://schemas.openxmlformats.org/officeDocument/2006/relationships/image" Target="../media/image15.jpeg"/><Relationship Id="rId1" Type="http://schemas.openxmlformats.org/officeDocument/2006/relationships/image" Target="../media/image1.jpeg"/><Relationship Id="rId6" Type="http://schemas.openxmlformats.org/officeDocument/2006/relationships/image" Target="../media/image6.jpeg"/><Relationship Id="rId11" Type="http://schemas.openxmlformats.org/officeDocument/2006/relationships/image" Target="../media/image10.jpeg"/><Relationship Id="rId5" Type="http://schemas.openxmlformats.org/officeDocument/2006/relationships/image" Target="../media/image5.jpeg"/><Relationship Id="rId15" Type="http://schemas.openxmlformats.org/officeDocument/2006/relationships/image" Target="../media/image14.jpeg"/><Relationship Id="rId10" Type="http://schemas.openxmlformats.org/officeDocument/2006/relationships/image" Target="../media/image9.jpeg"/><Relationship Id="rId4" Type="http://schemas.openxmlformats.org/officeDocument/2006/relationships/image" Target="../media/image4.jpeg"/><Relationship Id="rId9" Type="http://schemas.openxmlformats.org/officeDocument/2006/relationships/chart" Target="../charts/chart2.xml"/><Relationship Id="rId14" Type="http://schemas.openxmlformats.org/officeDocument/2006/relationships/image" Target="../media/image13.jpeg"/></Relationships>
</file>

<file path=xl/drawings/_rels/drawing4.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image" Target="../media/image12.jpeg"/><Relationship Id="rId18" Type="http://schemas.openxmlformats.org/officeDocument/2006/relationships/image" Target="../media/image17.jpeg"/><Relationship Id="rId3" Type="http://schemas.openxmlformats.org/officeDocument/2006/relationships/image" Target="../media/image3.jpeg"/><Relationship Id="rId7" Type="http://schemas.openxmlformats.org/officeDocument/2006/relationships/image" Target="../media/image7.jpeg"/><Relationship Id="rId12" Type="http://schemas.openxmlformats.org/officeDocument/2006/relationships/image" Target="../media/image11.jpeg"/><Relationship Id="rId17" Type="http://schemas.openxmlformats.org/officeDocument/2006/relationships/image" Target="../media/image16.jpeg"/><Relationship Id="rId2" Type="http://schemas.openxmlformats.org/officeDocument/2006/relationships/image" Target="../media/image2.jpeg"/><Relationship Id="rId16" Type="http://schemas.openxmlformats.org/officeDocument/2006/relationships/image" Target="../media/image15.jpeg"/><Relationship Id="rId1" Type="http://schemas.openxmlformats.org/officeDocument/2006/relationships/image" Target="../media/image1.jpeg"/><Relationship Id="rId6" Type="http://schemas.openxmlformats.org/officeDocument/2006/relationships/image" Target="../media/image6.jpeg"/><Relationship Id="rId11" Type="http://schemas.openxmlformats.org/officeDocument/2006/relationships/image" Target="../media/image10.jpeg"/><Relationship Id="rId5" Type="http://schemas.openxmlformats.org/officeDocument/2006/relationships/image" Target="../media/image5.jpeg"/><Relationship Id="rId15" Type="http://schemas.openxmlformats.org/officeDocument/2006/relationships/image" Target="../media/image14.jpeg"/><Relationship Id="rId10" Type="http://schemas.openxmlformats.org/officeDocument/2006/relationships/image" Target="../media/image9.jpeg"/><Relationship Id="rId4" Type="http://schemas.openxmlformats.org/officeDocument/2006/relationships/image" Target="../media/image4.jpeg"/><Relationship Id="rId9" Type="http://schemas.openxmlformats.org/officeDocument/2006/relationships/chart" Target="../charts/chart3.xml"/><Relationship Id="rId14" Type="http://schemas.openxmlformats.org/officeDocument/2006/relationships/image" Target="../media/image13.jpeg"/></Relationships>
</file>

<file path=xl/drawings/_rels/drawing5.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image" Target="../media/image12.jpeg"/><Relationship Id="rId18" Type="http://schemas.openxmlformats.org/officeDocument/2006/relationships/image" Target="../media/image17.jpeg"/><Relationship Id="rId3" Type="http://schemas.openxmlformats.org/officeDocument/2006/relationships/image" Target="../media/image3.jpeg"/><Relationship Id="rId7" Type="http://schemas.openxmlformats.org/officeDocument/2006/relationships/image" Target="../media/image7.jpeg"/><Relationship Id="rId12" Type="http://schemas.openxmlformats.org/officeDocument/2006/relationships/image" Target="../media/image11.jpeg"/><Relationship Id="rId17" Type="http://schemas.openxmlformats.org/officeDocument/2006/relationships/image" Target="../media/image16.jpeg"/><Relationship Id="rId2" Type="http://schemas.openxmlformats.org/officeDocument/2006/relationships/image" Target="../media/image2.jpeg"/><Relationship Id="rId16" Type="http://schemas.openxmlformats.org/officeDocument/2006/relationships/image" Target="../media/image15.jpeg"/><Relationship Id="rId1" Type="http://schemas.openxmlformats.org/officeDocument/2006/relationships/image" Target="../media/image1.jpeg"/><Relationship Id="rId6" Type="http://schemas.openxmlformats.org/officeDocument/2006/relationships/image" Target="../media/image6.jpeg"/><Relationship Id="rId11" Type="http://schemas.openxmlformats.org/officeDocument/2006/relationships/image" Target="../media/image10.jpeg"/><Relationship Id="rId5" Type="http://schemas.openxmlformats.org/officeDocument/2006/relationships/image" Target="../media/image5.jpeg"/><Relationship Id="rId15" Type="http://schemas.openxmlformats.org/officeDocument/2006/relationships/image" Target="../media/image14.jpeg"/><Relationship Id="rId10" Type="http://schemas.openxmlformats.org/officeDocument/2006/relationships/image" Target="../media/image9.jpeg"/><Relationship Id="rId4" Type="http://schemas.openxmlformats.org/officeDocument/2006/relationships/image" Target="../media/image4.jpeg"/><Relationship Id="rId9" Type="http://schemas.openxmlformats.org/officeDocument/2006/relationships/chart" Target="../charts/chart4.xml"/><Relationship Id="rId14" Type="http://schemas.openxmlformats.org/officeDocument/2006/relationships/image" Target="../media/image13.jpeg"/></Relationships>
</file>

<file path=xl/drawings/_rels/drawing6.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image" Target="../media/image12.jpeg"/><Relationship Id="rId18" Type="http://schemas.openxmlformats.org/officeDocument/2006/relationships/image" Target="../media/image17.jpeg"/><Relationship Id="rId3" Type="http://schemas.openxmlformats.org/officeDocument/2006/relationships/image" Target="../media/image3.jpeg"/><Relationship Id="rId7" Type="http://schemas.openxmlformats.org/officeDocument/2006/relationships/image" Target="../media/image7.jpeg"/><Relationship Id="rId12" Type="http://schemas.openxmlformats.org/officeDocument/2006/relationships/image" Target="../media/image11.jpeg"/><Relationship Id="rId17" Type="http://schemas.openxmlformats.org/officeDocument/2006/relationships/image" Target="../media/image16.jpeg"/><Relationship Id="rId2" Type="http://schemas.openxmlformats.org/officeDocument/2006/relationships/image" Target="../media/image2.jpeg"/><Relationship Id="rId16" Type="http://schemas.openxmlformats.org/officeDocument/2006/relationships/image" Target="../media/image15.jpeg"/><Relationship Id="rId1" Type="http://schemas.openxmlformats.org/officeDocument/2006/relationships/image" Target="../media/image1.jpeg"/><Relationship Id="rId6" Type="http://schemas.openxmlformats.org/officeDocument/2006/relationships/image" Target="../media/image6.jpeg"/><Relationship Id="rId11" Type="http://schemas.openxmlformats.org/officeDocument/2006/relationships/image" Target="../media/image10.jpeg"/><Relationship Id="rId5" Type="http://schemas.openxmlformats.org/officeDocument/2006/relationships/image" Target="../media/image5.jpeg"/><Relationship Id="rId15" Type="http://schemas.openxmlformats.org/officeDocument/2006/relationships/image" Target="../media/image14.jpeg"/><Relationship Id="rId10" Type="http://schemas.openxmlformats.org/officeDocument/2006/relationships/image" Target="../media/image9.jpeg"/><Relationship Id="rId4" Type="http://schemas.openxmlformats.org/officeDocument/2006/relationships/image" Target="../media/image4.jpeg"/><Relationship Id="rId9" Type="http://schemas.openxmlformats.org/officeDocument/2006/relationships/chart" Target="../charts/chart5.xml"/><Relationship Id="rId14" Type="http://schemas.openxmlformats.org/officeDocument/2006/relationships/image" Target="../media/image13.jpeg"/></Relationships>
</file>

<file path=xl/drawings/_rels/drawing7.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image" Target="../media/image12.jpeg"/><Relationship Id="rId18" Type="http://schemas.openxmlformats.org/officeDocument/2006/relationships/image" Target="../media/image17.jpeg"/><Relationship Id="rId3" Type="http://schemas.openxmlformats.org/officeDocument/2006/relationships/image" Target="../media/image3.jpeg"/><Relationship Id="rId7" Type="http://schemas.openxmlformats.org/officeDocument/2006/relationships/image" Target="../media/image7.jpeg"/><Relationship Id="rId12" Type="http://schemas.openxmlformats.org/officeDocument/2006/relationships/image" Target="../media/image11.jpeg"/><Relationship Id="rId17" Type="http://schemas.openxmlformats.org/officeDocument/2006/relationships/image" Target="../media/image16.jpeg"/><Relationship Id="rId2" Type="http://schemas.openxmlformats.org/officeDocument/2006/relationships/image" Target="../media/image2.jpeg"/><Relationship Id="rId16" Type="http://schemas.openxmlformats.org/officeDocument/2006/relationships/image" Target="../media/image15.jpeg"/><Relationship Id="rId1" Type="http://schemas.openxmlformats.org/officeDocument/2006/relationships/image" Target="../media/image1.jpeg"/><Relationship Id="rId6" Type="http://schemas.openxmlformats.org/officeDocument/2006/relationships/image" Target="../media/image6.jpeg"/><Relationship Id="rId11" Type="http://schemas.openxmlformats.org/officeDocument/2006/relationships/image" Target="../media/image10.jpeg"/><Relationship Id="rId5" Type="http://schemas.openxmlformats.org/officeDocument/2006/relationships/image" Target="../media/image5.jpeg"/><Relationship Id="rId15" Type="http://schemas.openxmlformats.org/officeDocument/2006/relationships/image" Target="../media/image14.jpeg"/><Relationship Id="rId10" Type="http://schemas.openxmlformats.org/officeDocument/2006/relationships/image" Target="../media/image9.jpeg"/><Relationship Id="rId4" Type="http://schemas.openxmlformats.org/officeDocument/2006/relationships/image" Target="../media/image4.jpeg"/><Relationship Id="rId9" Type="http://schemas.openxmlformats.org/officeDocument/2006/relationships/chart" Target="../charts/chart6.xml"/><Relationship Id="rId14" Type="http://schemas.openxmlformats.org/officeDocument/2006/relationships/image" Target="../media/image13.jpeg"/></Relationships>
</file>

<file path=xl/drawings/_rels/drawing8.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image" Target="../media/image12.jpeg"/><Relationship Id="rId18" Type="http://schemas.openxmlformats.org/officeDocument/2006/relationships/image" Target="../media/image17.jpeg"/><Relationship Id="rId3" Type="http://schemas.openxmlformats.org/officeDocument/2006/relationships/image" Target="../media/image3.jpeg"/><Relationship Id="rId7" Type="http://schemas.openxmlformats.org/officeDocument/2006/relationships/image" Target="../media/image7.jpeg"/><Relationship Id="rId12" Type="http://schemas.openxmlformats.org/officeDocument/2006/relationships/image" Target="../media/image11.jpeg"/><Relationship Id="rId17" Type="http://schemas.openxmlformats.org/officeDocument/2006/relationships/image" Target="../media/image16.jpeg"/><Relationship Id="rId2" Type="http://schemas.openxmlformats.org/officeDocument/2006/relationships/image" Target="../media/image2.jpeg"/><Relationship Id="rId16" Type="http://schemas.openxmlformats.org/officeDocument/2006/relationships/image" Target="../media/image15.jpeg"/><Relationship Id="rId1" Type="http://schemas.openxmlformats.org/officeDocument/2006/relationships/image" Target="../media/image1.jpeg"/><Relationship Id="rId6" Type="http://schemas.openxmlformats.org/officeDocument/2006/relationships/image" Target="../media/image6.jpeg"/><Relationship Id="rId11" Type="http://schemas.openxmlformats.org/officeDocument/2006/relationships/image" Target="../media/image10.jpeg"/><Relationship Id="rId5" Type="http://schemas.openxmlformats.org/officeDocument/2006/relationships/image" Target="../media/image5.jpeg"/><Relationship Id="rId15" Type="http://schemas.openxmlformats.org/officeDocument/2006/relationships/image" Target="../media/image14.jpeg"/><Relationship Id="rId10" Type="http://schemas.openxmlformats.org/officeDocument/2006/relationships/image" Target="../media/image9.jpeg"/><Relationship Id="rId4" Type="http://schemas.openxmlformats.org/officeDocument/2006/relationships/image" Target="../media/image4.jpeg"/><Relationship Id="rId9" Type="http://schemas.openxmlformats.org/officeDocument/2006/relationships/chart" Target="../charts/chart7.xml"/><Relationship Id="rId14" Type="http://schemas.openxmlformats.org/officeDocument/2006/relationships/image" Target="../media/image13.jpeg"/></Relationships>
</file>

<file path=xl/drawings/_rels/drawing9.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image" Target="../media/image12.jpeg"/><Relationship Id="rId18" Type="http://schemas.openxmlformats.org/officeDocument/2006/relationships/image" Target="../media/image17.jpeg"/><Relationship Id="rId3" Type="http://schemas.openxmlformats.org/officeDocument/2006/relationships/image" Target="../media/image3.jpeg"/><Relationship Id="rId7" Type="http://schemas.openxmlformats.org/officeDocument/2006/relationships/image" Target="../media/image7.jpeg"/><Relationship Id="rId12" Type="http://schemas.openxmlformats.org/officeDocument/2006/relationships/image" Target="../media/image11.jpeg"/><Relationship Id="rId17" Type="http://schemas.openxmlformats.org/officeDocument/2006/relationships/image" Target="../media/image16.jpeg"/><Relationship Id="rId2" Type="http://schemas.openxmlformats.org/officeDocument/2006/relationships/image" Target="../media/image2.jpeg"/><Relationship Id="rId16" Type="http://schemas.openxmlformats.org/officeDocument/2006/relationships/image" Target="../media/image15.jpeg"/><Relationship Id="rId1" Type="http://schemas.openxmlformats.org/officeDocument/2006/relationships/image" Target="../media/image1.jpeg"/><Relationship Id="rId6" Type="http://schemas.openxmlformats.org/officeDocument/2006/relationships/image" Target="../media/image6.jpeg"/><Relationship Id="rId11" Type="http://schemas.openxmlformats.org/officeDocument/2006/relationships/image" Target="../media/image10.jpeg"/><Relationship Id="rId5" Type="http://schemas.openxmlformats.org/officeDocument/2006/relationships/image" Target="../media/image5.jpeg"/><Relationship Id="rId15" Type="http://schemas.openxmlformats.org/officeDocument/2006/relationships/image" Target="../media/image14.jpeg"/><Relationship Id="rId10" Type="http://schemas.openxmlformats.org/officeDocument/2006/relationships/image" Target="../media/image9.jpeg"/><Relationship Id="rId4" Type="http://schemas.openxmlformats.org/officeDocument/2006/relationships/image" Target="../media/image4.jpeg"/><Relationship Id="rId9" Type="http://schemas.openxmlformats.org/officeDocument/2006/relationships/chart" Target="../charts/chart8.xml"/><Relationship Id="rId14" Type="http://schemas.openxmlformats.org/officeDocument/2006/relationships/image" Target="../media/image13.jpeg"/></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8" Type="http://schemas.openxmlformats.org/officeDocument/2006/relationships/image" Target="../media/image27.jpeg"/><Relationship Id="rId3" Type="http://schemas.openxmlformats.org/officeDocument/2006/relationships/image" Target="../media/image22.jpeg"/><Relationship Id="rId7" Type="http://schemas.openxmlformats.org/officeDocument/2006/relationships/image" Target="../media/image26.jpeg"/><Relationship Id="rId2" Type="http://schemas.openxmlformats.org/officeDocument/2006/relationships/image" Target="../media/image21.jpeg"/><Relationship Id="rId1" Type="http://schemas.openxmlformats.org/officeDocument/2006/relationships/image" Target="../media/image20.jpeg"/><Relationship Id="rId6" Type="http://schemas.openxmlformats.org/officeDocument/2006/relationships/image" Target="../media/image25.jpeg"/><Relationship Id="rId5" Type="http://schemas.openxmlformats.org/officeDocument/2006/relationships/image" Target="../media/image24.jpeg"/><Relationship Id="rId4" Type="http://schemas.openxmlformats.org/officeDocument/2006/relationships/image" Target="../media/image23.jpeg"/><Relationship Id="rId9" Type="http://schemas.openxmlformats.org/officeDocument/2006/relationships/image" Target="../media/image28.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8.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8.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8.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8.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8.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8.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8.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8.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9.jpeg"/></Relationships>
</file>

<file path=xl/drawings/drawing1.xml><?xml version="1.0" encoding="utf-8"?>
<xdr:wsDr xmlns:xdr="http://schemas.openxmlformats.org/drawingml/2006/spreadsheetDrawing" xmlns:a="http://schemas.openxmlformats.org/drawingml/2006/main">
  <xdr:twoCellAnchor>
    <xdr:from>
      <xdr:col>0</xdr:col>
      <xdr:colOff>295275</xdr:colOff>
      <xdr:row>0</xdr:row>
      <xdr:rowOff>0</xdr:rowOff>
    </xdr:from>
    <xdr:to>
      <xdr:col>1</xdr:col>
      <xdr:colOff>0</xdr:colOff>
      <xdr:row>8</xdr:row>
      <xdr:rowOff>0</xdr:rowOff>
    </xdr:to>
    <xdr:sp macro="" textlink="">
      <xdr:nvSpPr>
        <xdr:cNvPr id="2" name="Rechthoek 1">
          <a:extLst>
            <a:ext uri="{FF2B5EF4-FFF2-40B4-BE49-F238E27FC236}">
              <a16:creationId xmlns:a16="http://schemas.microsoft.com/office/drawing/2014/main" id="{00000000-0008-0000-0000-000002000000}"/>
            </a:ext>
          </a:extLst>
        </xdr:cNvPr>
        <xdr:cNvSpPr/>
      </xdr:nvSpPr>
      <xdr:spPr>
        <a:xfrm>
          <a:off x="295275" y="0"/>
          <a:ext cx="314325" cy="1524000"/>
        </a:xfrm>
        <a:prstGeom prst="rect">
          <a:avLst/>
        </a:prstGeom>
        <a:noFill/>
        <a:ln w="12700">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nl-NL" sz="1100"/>
            <a:t>``</a:t>
          </a:r>
        </a:p>
      </xdr:txBody>
    </xdr:sp>
    <xdr:clientData/>
  </xdr:twoCellAnchor>
  <xdr:twoCellAnchor>
    <xdr:from>
      <xdr:col>0</xdr:col>
      <xdr:colOff>1323975</xdr:colOff>
      <xdr:row>0</xdr:row>
      <xdr:rowOff>0</xdr:rowOff>
    </xdr:from>
    <xdr:to>
      <xdr:col>1</xdr:col>
      <xdr:colOff>0</xdr:colOff>
      <xdr:row>8</xdr:row>
      <xdr:rowOff>0</xdr:rowOff>
    </xdr:to>
    <xdr:sp macro="" textlink="">
      <xdr:nvSpPr>
        <xdr:cNvPr id="3" name="Rechthoek 2">
          <a:extLst>
            <a:ext uri="{FF2B5EF4-FFF2-40B4-BE49-F238E27FC236}">
              <a16:creationId xmlns:a16="http://schemas.microsoft.com/office/drawing/2014/main" id="{00000000-0008-0000-0000-000003000000}"/>
            </a:ext>
          </a:extLst>
        </xdr:cNvPr>
        <xdr:cNvSpPr/>
      </xdr:nvSpPr>
      <xdr:spPr>
        <a:xfrm>
          <a:off x="609600" y="0"/>
          <a:ext cx="0" cy="1524000"/>
        </a:xfrm>
        <a:prstGeom prst="rect">
          <a:avLst/>
        </a:prstGeom>
        <a:noFill/>
        <a:ln w="12700">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nl-NL" sz="1100"/>
            <a:t>``</a:t>
          </a:r>
        </a:p>
      </xdr:txBody>
    </xdr:sp>
    <xdr:clientData/>
  </xdr:twoCellAnchor>
  <xdr:twoCellAnchor>
    <xdr:from>
      <xdr:col>6</xdr:col>
      <xdr:colOff>125731</xdr:colOff>
      <xdr:row>0</xdr:row>
      <xdr:rowOff>85725</xdr:rowOff>
    </xdr:from>
    <xdr:to>
      <xdr:col>9</xdr:col>
      <xdr:colOff>0</xdr:colOff>
      <xdr:row>0</xdr:row>
      <xdr:rowOff>361950</xdr:rowOff>
    </xdr:to>
    <xdr:sp macro="[0]!Start1" textlink="">
      <xdr:nvSpPr>
        <xdr:cNvPr id="6" name="Vijfhoek 5">
          <a:extLst>
            <a:ext uri="{FF2B5EF4-FFF2-40B4-BE49-F238E27FC236}">
              <a16:creationId xmlns:a16="http://schemas.microsoft.com/office/drawing/2014/main" id="{00000000-0008-0000-0000-000006000000}"/>
            </a:ext>
          </a:extLst>
        </xdr:cNvPr>
        <xdr:cNvSpPr/>
      </xdr:nvSpPr>
      <xdr:spPr>
        <a:xfrm>
          <a:off x="3783331" y="85725"/>
          <a:ext cx="1329689" cy="276225"/>
        </a:xfrm>
        <a:prstGeom prst="homePlate">
          <a:avLst/>
        </a:prstGeom>
        <a:ln>
          <a:solidFill>
            <a:schemeClr val="accent1">
              <a:lumMod val="20000"/>
              <a:lumOff val="80000"/>
            </a:schemeClr>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100">
              <a:solidFill>
                <a:schemeClr val="bg1"/>
              </a:solidFill>
            </a:rPr>
            <a:t>Start Belbin</a:t>
          </a:r>
          <a:r>
            <a:rPr lang="nl-NL" sz="1100" baseline="0">
              <a:solidFill>
                <a:schemeClr val="bg1"/>
              </a:solidFill>
            </a:rPr>
            <a:t> test</a:t>
          </a:r>
          <a:endParaRPr lang="nl-NL" sz="1100">
            <a:solidFill>
              <a:schemeClr val="bg1"/>
            </a:solidFill>
          </a:endParaRPr>
        </a:p>
      </xdr:txBody>
    </xdr:sp>
    <xdr:clientData fPrintsWithSheet="0"/>
  </xdr:twoCellAnchor>
  <xdr:twoCellAnchor>
    <xdr:from>
      <xdr:col>6</xdr:col>
      <xdr:colOff>125731</xdr:colOff>
      <xdr:row>1</xdr:row>
      <xdr:rowOff>76200</xdr:rowOff>
    </xdr:from>
    <xdr:to>
      <xdr:col>9</xdr:col>
      <xdr:colOff>0</xdr:colOff>
      <xdr:row>1</xdr:row>
      <xdr:rowOff>352425</xdr:rowOff>
    </xdr:to>
    <xdr:sp macro="[0]!Start2" textlink="">
      <xdr:nvSpPr>
        <xdr:cNvPr id="7" name="Vijfhoek 6">
          <a:extLst>
            <a:ext uri="{FF2B5EF4-FFF2-40B4-BE49-F238E27FC236}">
              <a16:creationId xmlns:a16="http://schemas.microsoft.com/office/drawing/2014/main" id="{00000000-0008-0000-0000-000007000000}"/>
            </a:ext>
          </a:extLst>
        </xdr:cNvPr>
        <xdr:cNvSpPr/>
      </xdr:nvSpPr>
      <xdr:spPr>
        <a:xfrm>
          <a:off x="3783331" y="518160"/>
          <a:ext cx="1329689" cy="276225"/>
        </a:xfrm>
        <a:prstGeom prst="homePlate">
          <a:avLst/>
        </a:prstGeom>
        <a:solidFill>
          <a:schemeClr val="accent3"/>
        </a:solidFill>
        <a:ln>
          <a:solidFill>
            <a:schemeClr val="accent2">
              <a:lumMod val="20000"/>
              <a:lumOff val="80000"/>
            </a:schemeClr>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100">
              <a:solidFill>
                <a:schemeClr val="tx2">
                  <a:lumMod val="50000"/>
                </a:schemeClr>
              </a:solidFill>
            </a:rPr>
            <a:t>Start Belbin</a:t>
          </a:r>
          <a:r>
            <a:rPr lang="nl-NL" sz="1100" baseline="0">
              <a:solidFill>
                <a:schemeClr val="tx2">
                  <a:lumMod val="50000"/>
                </a:schemeClr>
              </a:solidFill>
            </a:rPr>
            <a:t> test</a:t>
          </a:r>
          <a:endParaRPr lang="nl-NL" sz="1100">
            <a:solidFill>
              <a:schemeClr val="tx2">
                <a:lumMod val="50000"/>
              </a:schemeClr>
            </a:solidFill>
          </a:endParaRPr>
        </a:p>
      </xdr:txBody>
    </xdr:sp>
    <xdr:clientData fPrintsWithSheet="0"/>
  </xdr:twoCellAnchor>
  <xdr:twoCellAnchor>
    <xdr:from>
      <xdr:col>6</xdr:col>
      <xdr:colOff>125731</xdr:colOff>
      <xdr:row>2</xdr:row>
      <xdr:rowOff>95250</xdr:rowOff>
    </xdr:from>
    <xdr:to>
      <xdr:col>9</xdr:col>
      <xdr:colOff>0</xdr:colOff>
      <xdr:row>2</xdr:row>
      <xdr:rowOff>371475</xdr:rowOff>
    </xdr:to>
    <xdr:sp macro="[0]!Start3" textlink="">
      <xdr:nvSpPr>
        <xdr:cNvPr id="8" name="Vijfhoek 7">
          <a:extLst>
            <a:ext uri="{FF2B5EF4-FFF2-40B4-BE49-F238E27FC236}">
              <a16:creationId xmlns:a16="http://schemas.microsoft.com/office/drawing/2014/main" id="{00000000-0008-0000-0000-000008000000}"/>
            </a:ext>
          </a:extLst>
        </xdr:cNvPr>
        <xdr:cNvSpPr/>
      </xdr:nvSpPr>
      <xdr:spPr>
        <a:xfrm>
          <a:off x="3783331" y="979170"/>
          <a:ext cx="1329689" cy="276225"/>
        </a:xfrm>
        <a:prstGeom prst="homePlate">
          <a:avLst/>
        </a:prstGeom>
        <a:solidFill>
          <a:srgbClr val="FF0000"/>
        </a:solidFill>
        <a:ln>
          <a:solidFill>
            <a:srgbClr val="FF505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100">
              <a:solidFill>
                <a:schemeClr val="bg1"/>
              </a:solidFill>
            </a:rPr>
            <a:t>Start</a:t>
          </a:r>
          <a:r>
            <a:rPr lang="nl-NL" sz="1100">
              <a:solidFill>
                <a:schemeClr val="tx2">
                  <a:lumMod val="50000"/>
                </a:schemeClr>
              </a:solidFill>
            </a:rPr>
            <a:t> </a:t>
          </a:r>
          <a:r>
            <a:rPr lang="nl-NL" sz="1100">
              <a:solidFill>
                <a:schemeClr val="bg1"/>
              </a:solidFill>
            </a:rPr>
            <a:t>belbin</a:t>
          </a:r>
          <a:r>
            <a:rPr lang="nl-NL" sz="1100" baseline="0">
              <a:solidFill>
                <a:schemeClr val="bg1"/>
              </a:solidFill>
            </a:rPr>
            <a:t> test</a:t>
          </a:r>
          <a:endParaRPr lang="nl-NL" sz="1100">
            <a:solidFill>
              <a:schemeClr val="bg1"/>
            </a:solidFill>
          </a:endParaRPr>
        </a:p>
      </xdr:txBody>
    </xdr:sp>
    <xdr:clientData fPrintsWithSheet="0"/>
  </xdr:twoCellAnchor>
  <xdr:twoCellAnchor>
    <xdr:from>
      <xdr:col>6</xdr:col>
      <xdr:colOff>125731</xdr:colOff>
      <xdr:row>3</xdr:row>
      <xdr:rowOff>85725</xdr:rowOff>
    </xdr:from>
    <xdr:to>
      <xdr:col>9</xdr:col>
      <xdr:colOff>0</xdr:colOff>
      <xdr:row>3</xdr:row>
      <xdr:rowOff>361950</xdr:rowOff>
    </xdr:to>
    <xdr:sp macro="[0]!Start4" textlink="">
      <xdr:nvSpPr>
        <xdr:cNvPr id="9" name="Vijfhoek 8">
          <a:extLst>
            <a:ext uri="{FF2B5EF4-FFF2-40B4-BE49-F238E27FC236}">
              <a16:creationId xmlns:a16="http://schemas.microsoft.com/office/drawing/2014/main" id="{00000000-0008-0000-0000-000009000000}"/>
            </a:ext>
          </a:extLst>
        </xdr:cNvPr>
        <xdr:cNvSpPr/>
      </xdr:nvSpPr>
      <xdr:spPr>
        <a:xfrm>
          <a:off x="3783331" y="1411605"/>
          <a:ext cx="1329689" cy="276225"/>
        </a:xfrm>
        <a:prstGeom prst="homePlate">
          <a:avLst/>
        </a:prstGeom>
        <a:solidFill>
          <a:srgbClr val="008000"/>
        </a:solidFill>
        <a:ln>
          <a:solidFill>
            <a:schemeClr val="accent5">
              <a:lumMod val="20000"/>
              <a:lumOff val="80000"/>
            </a:schemeClr>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100">
              <a:solidFill>
                <a:schemeClr val="bg1"/>
              </a:solidFill>
            </a:rPr>
            <a:t>Start Belbin</a:t>
          </a:r>
          <a:r>
            <a:rPr lang="nl-NL" sz="1100" baseline="0">
              <a:solidFill>
                <a:schemeClr val="bg1"/>
              </a:solidFill>
            </a:rPr>
            <a:t> test</a:t>
          </a:r>
          <a:endParaRPr lang="nl-NL" sz="1100">
            <a:solidFill>
              <a:schemeClr val="bg1"/>
            </a:solidFill>
          </a:endParaRPr>
        </a:p>
      </xdr:txBody>
    </xdr:sp>
    <xdr:clientData fPrintsWithSheet="0"/>
  </xdr:twoCellAnchor>
  <xdr:twoCellAnchor>
    <xdr:from>
      <xdr:col>6</xdr:col>
      <xdr:colOff>125731</xdr:colOff>
      <xdr:row>4</xdr:row>
      <xdr:rowOff>85725</xdr:rowOff>
    </xdr:from>
    <xdr:to>
      <xdr:col>9</xdr:col>
      <xdr:colOff>0</xdr:colOff>
      <xdr:row>4</xdr:row>
      <xdr:rowOff>361950</xdr:rowOff>
    </xdr:to>
    <xdr:sp macro="[0]!Start5" textlink="">
      <xdr:nvSpPr>
        <xdr:cNvPr id="10" name="Vijfhoek 9">
          <a:extLst>
            <a:ext uri="{FF2B5EF4-FFF2-40B4-BE49-F238E27FC236}">
              <a16:creationId xmlns:a16="http://schemas.microsoft.com/office/drawing/2014/main" id="{00000000-0008-0000-0000-00000A000000}"/>
            </a:ext>
          </a:extLst>
        </xdr:cNvPr>
        <xdr:cNvSpPr/>
      </xdr:nvSpPr>
      <xdr:spPr>
        <a:xfrm>
          <a:off x="3783331" y="1853565"/>
          <a:ext cx="1329689" cy="276225"/>
        </a:xfrm>
        <a:prstGeom prst="homePlate">
          <a:avLst/>
        </a:prstGeom>
        <a:solidFill>
          <a:schemeClr val="accent6"/>
        </a:solidFill>
        <a:ln>
          <a:solidFill>
            <a:schemeClr val="accent6">
              <a:lumMod val="20000"/>
              <a:lumOff val="80000"/>
            </a:schemeClr>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100">
              <a:solidFill>
                <a:schemeClr val="tx2">
                  <a:lumMod val="50000"/>
                </a:schemeClr>
              </a:solidFill>
            </a:rPr>
            <a:t>Start</a:t>
          </a:r>
          <a:r>
            <a:rPr lang="nl-NL" sz="1100"/>
            <a:t> </a:t>
          </a:r>
          <a:r>
            <a:rPr lang="nl-NL" sz="1100">
              <a:solidFill>
                <a:schemeClr val="tx2">
                  <a:lumMod val="50000"/>
                </a:schemeClr>
              </a:solidFill>
            </a:rPr>
            <a:t>Belbin</a:t>
          </a:r>
          <a:r>
            <a:rPr lang="nl-NL" sz="1100" baseline="0">
              <a:solidFill>
                <a:schemeClr val="tx2">
                  <a:lumMod val="50000"/>
                </a:schemeClr>
              </a:solidFill>
            </a:rPr>
            <a:t> test</a:t>
          </a:r>
          <a:endParaRPr lang="nl-NL" sz="1100">
            <a:solidFill>
              <a:schemeClr val="tx2">
                <a:lumMod val="50000"/>
              </a:schemeClr>
            </a:solidFill>
          </a:endParaRPr>
        </a:p>
      </xdr:txBody>
    </xdr:sp>
    <xdr:clientData fPrintsWithSheet="0"/>
  </xdr:twoCellAnchor>
  <xdr:twoCellAnchor>
    <xdr:from>
      <xdr:col>6</xdr:col>
      <xdr:colOff>125731</xdr:colOff>
      <xdr:row>5</xdr:row>
      <xdr:rowOff>76200</xdr:rowOff>
    </xdr:from>
    <xdr:to>
      <xdr:col>9</xdr:col>
      <xdr:colOff>0</xdr:colOff>
      <xdr:row>5</xdr:row>
      <xdr:rowOff>352425</xdr:rowOff>
    </xdr:to>
    <xdr:sp macro="[0]!Start6" textlink="">
      <xdr:nvSpPr>
        <xdr:cNvPr id="11" name="Vijfhoek 10">
          <a:extLst>
            <a:ext uri="{FF2B5EF4-FFF2-40B4-BE49-F238E27FC236}">
              <a16:creationId xmlns:a16="http://schemas.microsoft.com/office/drawing/2014/main" id="{00000000-0008-0000-0000-00000B000000}"/>
            </a:ext>
          </a:extLst>
        </xdr:cNvPr>
        <xdr:cNvSpPr/>
      </xdr:nvSpPr>
      <xdr:spPr>
        <a:xfrm>
          <a:off x="3783331" y="2286000"/>
          <a:ext cx="1329689" cy="276225"/>
        </a:xfrm>
        <a:prstGeom prst="homePlate">
          <a:avLst/>
        </a:prstGeom>
        <a:solidFill>
          <a:srgbClr val="FFC000"/>
        </a:solidFill>
        <a:ln>
          <a:solidFill>
            <a:srgbClr val="FFFF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100">
              <a:solidFill>
                <a:schemeClr val="tx2">
                  <a:lumMod val="50000"/>
                </a:schemeClr>
              </a:solidFill>
            </a:rPr>
            <a:t>Start</a:t>
          </a:r>
          <a:r>
            <a:rPr lang="nl-NL" sz="1100">
              <a:solidFill>
                <a:sysClr val="windowText" lastClr="000000"/>
              </a:solidFill>
            </a:rPr>
            <a:t> </a:t>
          </a:r>
          <a:r>
            <a:rPr lang="nl-NL" sz="1100">
              <a:solidFill>
                <a:schemeClr val="tx2">
                  <a:lumMod val="50000"/>
                </a:schemeClr>
              </a:solidFill>
            </a:rPr>
            <a:t>Belbin</a:t>
          </a:r>
          <a:r>
            <a:rPr lang="nl-NL" sz="1100" baseline="0">
              <a:solidFill>
                <a:schemeClr val="tx2">
                  <a:lumMod val="50000"/>
                </a:schemeClr>
              </a:solidFill>
            </a:rPr>
            <a:t> test</a:t>
          </a:r>
          <a:endParaRPr lang="nl-NL" sz="1100">
            <a:solidFill>
              <a:schemeClr val="tx2">
                <a:lumMod val="50000"/>
              </a:schemeClr>
            </a:solidFill>
          </a:endParaRPr>
        </a:p>
      </xdr:txBody>
    </xdr:sp>
    <xdr:clientData fPrintsWithSheet="0"/>
  </xdr:twoCellAnchor>
  <xdr:twoCellAnchor>
    <xdr:from>
      <xdr:col>6</xdr:col>
      <xdr:colOff>123826</xdr:colOff>
      <xdr:row>7</xdr:row>
      <xdr:rowOff>72390</xdr:rowOff>
    </xdr:from>
    <xdr:to>
      <xdr:col>8</xdr:col>
      <xdr:colOff>234315</xdr:colOff>
      <xdr:row>7</xdr:row>
      <xdr:rowOff>348615</xdr:rowOff>
    </xdr:to>
    <xdr:sp macro="[0]!Start8" textlink="">
      <xdr:nvSpPr>
        <xdr:cNvPr id="12" name="Vijfhoek 11">
          <a:extLst>
            <a:ext uri="{FF2B5EF4-FFF2-40B4-BE49-F238E27FC236}">
              <a16:creationId xmlns:a16="http://schemas.microsoft.com/office/drawing/2014/main" id="{00000000-0008-0000-0000-00000C000000}"/>
            </a:ext>
          </a:extLst>
        </xdr:cNvPr>
        <xdr:cNvSpPr/>
      </xdr:nvSpPr>
      <xdr:spPr>
        <a:xfrm>
          <a:off x="3781426" y="3166110"/>
          <a:ext cx="1329689" cy="276225"/>
        </a:xfrm>
        <a:prstGeom prst="homePlate">
          <a:avLst/>
        </a:prstGeom>
        <a:solidFill>
          <a:schemeClr val="tx2">
            <a:lumMod val="50000"/>
          </a:schemeClr>
        </a:solidFill>
        <a:ln>
          <a:solidFill>
            <a:schemeClr val="bg1">
              <a:lumMod val="85000"/>
            </a:schemeClr>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100">
              <a:solidFill>
                <a:schemeClr val="bg1"/>
              </a:solidFill>
            </a:rPr>
            <a:t>Start Belbin</a:t>
          </a:r>
          <a:r>
            <a:rPr lang="nl-NL" sz="1100" baseline="0">
              <a:solidFill>
                <a:schemeClr val="bg1"/>
              </a:solidFill>
            </a:rPr>
            <a:t> test</a:t>
          </a:r>
          <a:endParaRPr lang="nl-NL" sz="1100">
            <a:solidFill>
              <a:schemeClr val="bg1"/>
            </a:solidFill>
          </a:endParaRPr>
        </a:p>
      </xdr:txBody>
    </xdr:sp>
    <xdr:clientData fPrintsWithSheet="0"/>
  </xdr:twoCellAnchor>
  <xdr:twoCellAnchor>
    <xdr:from>
      <xdr:col>6</xdr:col>
      <xdr:colOff>114300</xdr:colOff>
      <xdr:row>6</xdr:row>
      <xdr:rowOff>74295</xdr:rowOff>
    </xdr:from>
    <xdr:to>
      <xdr:col>8</xdr:col>
      <xdr:colOff>224789</xdr:colOff>
      <xdr:row>6</xdr:row>
      <xdr:rowOff>350520</xdr:rowOff>
    </xdr:to>
    <xdr:sp macro="[0]!Start7" textlink="">
      <xdr:nvSpPr>
        <xdr:cNvPr id="13" name="Vijfhoek 12">
          <a:extLst>
            <a:ext uri="{FF2B5EF4-FFF2-40B4-BE49-F238E27FC236}">
              <a16:creationId xmlns:a16="http://schemas.microsoft.com/office/drawing/2014/main" id="{00000000-0008-0000-0000-00000D000000}"/>
            </a:ext>
          </a:extLst>
        </xdr:cNvPr>
        <xdr:cNvSpPr/>
      </xdr:nvSpPr>
      <xdr:spPr>
        <a:xfrm>
          <a:off x="3771900" y="2726055"/>
          <a:ext cx="1329689" cy="276225"/>
        </a:xfrm>
        <a:prstGeom prst="homePlate">
          <a:avLst/>
        </a:prstGeom>
        <a:solidFill>
          <a:schemeClr val="accent2">
            <a:lumMod val="50000"/>
          </a:schemeClr>
        </a:solidFill>
        <a:ln>
          <a:solidFill>
            <a:schemeClr val="bg1">
              <a:lumMod val="85000"/>
            </a:schemeClr>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1100">
              <a:solidFill>
                <a:schemeClr val="bg1"/>
              </a:solidFill>
            </a:rPr>
            <a:t>Start Belbin</a:t>
          </a:r>
          <a:r>
            <a:rPr lang="nl-NL" sz="1100" baseline="0">
              <a:solidFill>
                <a:schemeClr val="bg1"/>
              </a:solidFill>
            </a:rPr>
            <a:t> test</a:t>
          </a:r>
          <a:endParaRPr lang="nl-NL" sz="1100">
            <a:solidFill>
              <a:schemeClr val="bg1"/>
            </a:solidFill>
          </a:endParaRPr>
        </a:p>
      </xdr:txBody>
    </xdr:sp>
    <xdr:clientData fPrintsWithSheet="0"/>
  </xdr:twoCellAnchor>
  <xdr:oneCellAnchor>
    <xdr:from>
      <xdr:col>5</xdr:col>
      <xdr:colOff>3</xdr:colOff>
      <xdr:row>0</xdr:row>
      <xdr:rowOff>0</xdr:rowOff>
    </xdr:from>
    <xdr:ext cx="276225" cy="3535680"/>
    <xdr:sp macro="" textlink="">
      <xdr:nvSpPr>
        <xdr:cNvPr id="14" name="Tekstvak 13">
          <a:extLst>
            <a:ext uri="{FF2B5EF4-FFF2-40B4-BE49-F238E27FC236}">
              <a16:creationId xmlns:a16="http://schemas.microsoft.com/office/drawing/2014/main" id="{00000000-0008-0000-0000-00000E000000}"/>
            </a:ext>
          </a:extLst>
        </xdr:cNvPr>
        <xdr:cNvSpPr txBox="1"/>
      </xdr:nvSpPr>
      <xdr:spPr>
        <a:xfrm rot="16200000">
          <a:off x="1418276" y="1629727"/>
          <a:ext cx="3535680" cy="276225"/>
        </a:xfrm>
        <a:prstGeom prst="rect">
          <a:avLst/>
        </a:prstGeom>
        <a:solidFill>
          <a:schemeClr val="bg1">
            <a:lumMod val="85000"/>
          </a:schemeClr>
        </a:solidFill>
        <a:ln>
          <a:solidFill>
            <a:schemeClr val="tx2"/>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nl-NL" sz="1000" b="0">
              <a:solidFill>
                <a:schemeClr val="tx2"/>
              </a:solidFill>
            </a:rPr>
            <a:t>Belbin test  completed?</a:t>
          </a:r>
        </a:p>
      </xdr:txBody>
    </xdr:sp>
    <xdr:clientData/>
  </xdr:oneCellAnchor>
  <xdr:twoCellAnchor>
    <xdr:from>
      <xdr:col>15</xdr:col>
      <xdr:colOff>129540</xdr:colOff>
      <xdr:row>2</xdr:row>
      <xdr:rowOff>0</xdr:rowOff>
    </xdr:from>
    <xdr:to>
      <xdr:col>17</xdr:col>
      <xdr:colOff>0</xdr:colOff>
      <xdr:row>2</xdr:row>
      <xdr:rowOff>297180</xdr:rowOff>
    </xdr:to>
    <xdr:sp macro="[0]!To_Total" textlink="">
      <xdr:nvSpPr>
        <xdr:cNvPr id="15" name="Afgeronde rechthoek 14">
          <a:extLst>
            <a:ext uri="{FF2B5EF4-FFF2-40B4-BE49-F238E27FC236}">
              <a16:creationId xmlns:a16="http://schemas.microsoft.com/office/drawing/2014/main" id="{00000000-0008-0000-0000-00000F000000}"/>
            </a:ext>
          </a:extLst>
        </xdr:cNvPr>
        <xdr:cNvSpPr/>
      </xdr:nvSpPr>
      <xdr:spPr>
        <a:xfrm>
          <a:off x="8900160" y="883920"/>
          <a:ext cx="1089660" cy="29718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100">
              <a:sym typeface="Webdings"/>
            </a:rPr>
            <a:t>To</a:t>
          </a:r>
          <a:r>
            <a:rPr lang="nl-NL" sz="1100" baseline="0">
              <a:sym typeface="Webdings"/>
            </a:rPr>
            <a:t> team score</a:t>
          </a:r>
          <a:endParaRPr lang="nl-NL" sz="900"/>
        </a:p>
      </xdr:txBody>
    </xdr:sp>
    <xdr:clientData fPrintsWithSheet="0"/>
  </xdr:twoCellAnchor>
  <xdr:twoCellAnchor>
    <xdr:from>
      <xdr:col>15</xdr:col>
      <xdr:colOff>129540</xdr:colOff>
      <xdr:row>2</xdr:row>
      <xdr:rowOff>411480</xdr:rowOff>
    </xdr:from>
    <xdr:to>
      <xdr:col>17</xdr:col>
      <xdr:colOff>0</xdr:colOff>
      <xdr:row>4</xdr:row>
      <xdr:rowOff>53340</xdr:rowOff>
    </xdr:to>
    <xdr:sp macro="[0]!ToRolesTotal" textlink="">
      <xdr:nvSpPr>
        <xdr:cNvPr id="16" name="Afgeronde rechthoek 15">
          <a:extLst>
            <a:ext uri="{FF2B5EF4-FFF2-40B4-BE49-F238E27FC236}">
              <a16:creationId xmlns:a16="http://schemas.microsoft.com/office/drawing/2014/main" id="{00000000-0008-0000-0000-000010000000}"/>
            </a:ext>
          </a:extLst>
        </xdr:cNvPr>
        <xdr:cNvSpPr/>
      </xdr:nvSpPr>
      <xdr:spPr>
        <a:xfrm>
          <a:off x="8900160" y="1295400"/>
          <a:ext cx="1089660" cy="52578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100">
              <a:sym typeface="Webdings"/>
            </a:rPr>
            <a:t>Belbin</a:t>
          </a:r>
          <a:r>
            <a:rPr lang="nl-NL" sz="1100" baseline="0">
              <a:sym typeface="Webdings"/>
            </a:rPr>
            <a:t> role definitions</a:t>
          </a:r>
          <a:endParaRPr lang="nl-NL" sz="900"/>
        </a:p>
      </xdr:txBody>
    </xdr:sp>
    <xdr:clientData fPrintsWithSheet="0"/>
  </xdr:twoCellAnchor>
  <xdr:twoCellAnchor>
    <xdr:from>
      <xdr:col>15</xdr:col>
      <xdr:colOff>129540</xdr:colOff>
      <xdr:row>4</xdr:row>
      <xdr:rowOff>167640</xdr:rowOff>
    </xdr:from>
    <xdr:to>
      <xdr:col>17</xdr:col>
      <xdr:colOff>0</xdr:colOff>
      <xdr:row>5</xdr:row>
      <xdr:rowOff>22860</xdr:rowOff>
    </xdr:to>
    <xdr:sp macro="[0]!reset_score" textlink="">
      <xdr:nvSpPr>
        <xdr:cNvPr id="17" name="Afgeronde rechthoek 16">
          <a:extLst>
            <a:ext uri="{FF2B5EF4-FFF2-40B4-BE49-F238E27FC236}">
              <a16:creationId xmlns:a16="http://schemas.microsoft.com/office/drawing/2014/main" id="{00000000-0008-0000-0000-000011000000}"/>
            </a:ext>
          </a:extLst>
        </xdr:cNvPr>
        <xdr:cNvSpPr/>
      </xdr:nvSpPr>
      <xdr:spPr>
        <a:xfrm>
          <a:off x="8900160" y="1935480"/>
          <a:ext cx="1089660" cy="297180"/>
        </a:xfrm>
        <a:prstGeom prst="roundRect">
          <a:avLst/>
        </a:prstGeom>
        <a:solidFill>
          <a:srgbClr val="C0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nl-NL" sz="1100">
              <a:sym typeface="Webdings"/>
            </a:rPr>
            <a:t>reset</a:t>
          </a:r>
          <a:r>
            <a:rPr lang="nl-NL" sz="1100" baseline="0">
              <a:sym typeface="Webdings"/>
            </a:rPr>
            <a:t> scores</a:t>
          </a:r>
          <a:endParaRPr lang="nl-NL" sz="900"/>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25</xdr:col>
      <xdr:colOff>609600</xdr:colOff>
      <xdr:row>19</xdr:row>
      <xdr:rowOff>45720</xdr:rowOff>
    </xdr:from>
    <xdr:to>
      <xdr:col>27</xdr:col>
      <xdr:colOff>617220</xdr:colOff>
      <xdr:row>21</xdr:row>
      <xdr:rowOff>45720</xdr:rowOff>
    </xdr:to>
    <xdr:sp macro="[0]!NextSection" textlink="">
      <xdr:nvSpPr>
        <xdr:cNvPr id="2" name="Vijfhoek 1">
          <a:extLst>
            <a:ext uri="{FF2B5EF4-FFF2-40B4-BE49-F238E27FC236}">
              <a16:creationId xmlns:a16="http://schemas.microsoft.com/office/drawing/2014/main" id="{00000000-0008-0000-0100-000002000000}"/>
            </a:ext>
          </a:extLst>
        </xdr:cNvPr>
        <xdr:cNvSpPr/>
      </xdr:nvSpPr>
      <xdr:spPr>
        <a:xfrm>
          <a:off x="22128480" y="482346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44</xdr:col>
      <xdr:colOff>0</xdr:colOff>
      <xdr:row>20</xdr:row>
      <xdr:rowOff>0</xdr:rowOff>
    </xdr:from>
    <xdr:to>
      <xdr:col>46</xdr:col>
      <xdr:colOff>0</xdr:colOff>
      <xdr:row>22</xdr:row>
      <xdr:rowOff>0</xdr:rowOff>
    </xdr:to>
    <xdr:sp macro="[0]!NextSection" textlink="">
      <xdr:nvSpPr>
        <xdr:cNvPr id="3" name="Vijfhoek 2">
          <a:extLst>
            <a:ext uri="{FF2B5EF4-FFF2-40B4-BE49-F238E27FC236}">
              <a16:creationId xmlns:a16="http://schemas.microsoft.com/office/drawing/2014/main" id="{00000000-0008-0000-0100-000003000000}"/>
            </a:ext>
          </a:extLst>
        </xdr:cNvPr>
        <xdr:cNvSpPr/>
      </xdr:nvSpPr>
      <xdr:spPr>
        <a:xfrm>
          <a:off x="3633978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42</xdr:col>
      <xdr:colOff>0</xdr:colOff>
      <xdr:row>20</xdr:row>
      <xdr:rowOff>0</xdr:rowOff>
    </xdr:from>
    <xdr:to>
      <xdr:col>44</xdr:col>
      <xdr:colOff>0</xdr:colOff>
      <xdr:row>22</xdr:row>
      <xdr:rowOff>0</xdr:rowOff>
    </xdr:to>
    <xdr:sp macro="[0]!SectionBack" textlink="">
      <xdr:nvSpPr>
        <xdr:cNvPr id="4" name="Vijfhoek 3">
          <a:extLst>
            <a:ext uri="{FF2B5EF4-FFF2-40B4-BE49-F238E27FC236}">
              <a16:creationId xmlns:a16="http://schemas.microsoft.com/office/drawing/2014/main" id="{00000000-0008-0000-0100-000004000000}"/>
            </a:ext>
          </a:extLst>
        </xdr:cNvPr>
        <xdr:cNvSpPr/>
      </xdr:nvSpPr>
      <xdr:spPr>
        <a:xfrm flipH="1">
          <a:off x="3509010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24</xdr:col>
      <xdr:colOff>0</xdr:colOff>
      <xdr:row>19</xdr:row>
      <xdr:rowOff>45720</xdr:rowOff>
    </xdr:from>
    <xdr:to>
      <xdr:col>26</xdr:col>
      <xdr:colOff>0</xdr:colOff>
      <xdr:row>21</xdr:row>
      <xdr:rowOff>45720</xdr:rowOff>
    </xdr:to>
    <xdr:sp macro="[0]!SectionBack" textlink="">
      <xdr:nvSpPr>
        <xdr:cNvPr id="5" name="Vijfhoek 4">
          <a:extLst>
            <a:ext uri="{FF2B5EF4-FFF2-40B4-BE49-F238E27FC236}">
              <a16:creationId xmlns:a16="http://schemas.microsoft.com/office/drawing/2014/main" id="{00000000-0008-0000-0100-000005000000}"/>
            </a:ext>
          </a:extLst>
        </xdr:cNvPr>
        <xdr:cNvSpPr/>
      </xdr:nvSpPr>
      <xdr:spPr>
        <a:xfrm flipH="1">
          <a:off x="20894040" y="482346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60</xdr:col>
      <xdr:colOff>0</xdr:colOff>
      <xdr:row>20</xdr:row>
      <xdr:rowOff>0</xdr:rowOff>
    </xdr:from>
    <xdr:to>
      <xdr:col>62</xdr:col>
      <xdr:colOff>0</xdr:colOff>
      <xdr:row>22</xdr:row>
      <xdr:rowOff>0</xdr:rowOff>
    </xdr:to>
    <xdr:sp macro="[0]!SectionBack" textlink="">
      <xdr:nvSpPr>
        <xdr:cNvPr id="6" name="Vijfhoek 5">
          <a:extLst>
            <a:ext uri="{FF2B5EF4-FFF2-40B4-BE49-F238E27FC236}">
              <a16:creationId xmlns:a16="http://schemas.microsoft.com/office/drawing/2014/main" id="{00000000-0008-0000-0100-000006000000}"/>
            </a:ext>
          </a:extLst>
        </xdr:cNvPr>
        <xdr:cNvSpPr/>
      </xdr:nvSpPr>
      <xdr:spPr>
        <a:xfrm flipH="1">
          <a:off x="4928616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79</xdr:col>
      <xdr:colOff>617220</xdr:colOff>
      <xdr:row>20</xdr:row>
      <xdr:rowOff>0</xdr:rowOff>
    </xdr:from>
    <xdr:to>
      <xdr:col>82</xdr:col>
      <xdr:colOff>0</xdr:colOff>
      <xdr:row>22</xdr:row>
      <xdr:rowOff>0</xdr:rowOff>
    </xdr:to>
    <xdr:sp macro="[0]!NextSection" textlink="">
      <xdr:nvSpPr>
        <xdr:cNvPr id="7" name="Vijfhoek 6">
          <a:extLst>
            <a:ext uri="{FF2B5EF4-FFF2-40B4-BE49-F238E27FC236}">
              <a16:creationId xmlns:a16="http://schemas.microsoft.com/office/drawing/2014/main" id="{00000000-0008-0000-0100-000007000000}"/>
            </a:ext>
          </a:extLst>
        </xdr:cNvPr>
        <xdr:cNvSpPr/>
      </xdr:nvSpPr>
      <xdr:spPr>
        <a:xfrm>
          <a:off x="6472428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98</xdr:col>
      <xdr:colOff>0</xdr:colOff>
      <xdr:row>20</xdr:row>
      <xdr:rowOff>0</xdr:rowOff>
    </xdr:from>
    <xdr:to>
      <xdr:col>100</xdr:col>
      <xdr:colOff>7620</xdr:colOff>
      <xdr:row>22</xdr:row>
      <xdr:rowOff>0</xdr:rowOff>
    </xdr:to>
    <xdr:sp macro="[0]!NextSection" textlink="">
      <xdr:nvSpPr>
        <xdr:cNvPr id="8" name="Vijfhoek 7">
          <a:extLst>
            <a:ext uri="{FF2B5EF4-FFF2-40B4-BE49-F238E27FC236}">
              <a16:creationId xmlns:a16="http://schemas.microsoft.com/office/drawing/2014/main" id="{00000000-0008-0000-0100-000008000000}"/>
            </a:ext>
          </a:extLst>
        </xdr:cNvPr>
        <xdr:cNvSpPr/>
      </xdr:nvSpPr>
      <xdr:spPr>
        <a:xfrm>
          <a:off x="7892796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116</xdr:col>
      <xdr:colOff>0</xdr:colOff>
      <xdr:row>20</xdr:row>
      <xdr:rowOff>0</xdr:rowOff>
    </xdr:from>
    <xdr:to>
      <xdr:col>118</xdr:col>
      <xdr:colOff>7620</xdr:colOff>
      <xdr:row>22</xdr:row>
      <xdr:rowOff>0</xdr:rowOff>
    </xdr:to>
    <xdr:sp macro="[0]!NextSection" textlink="">
      <xdr:nvSpPr>
        <xdr:cNvPr id="9" name="Vijfhoek 8">
          <a:extLst>
            <a:ext uri="{FF2B5EF4-FFF2-40B4-BE49-F238E27FC236}">
              <a16:creationId xmlns:a16="http://schemas.microsoft.com/office/drawing/2014/main" id="{00000000-0008-0000-0100-000009000000}"/>
            </a:ext>
          </a:extLst>
        </xdr:cNvPr>
        <xdr:cNvSpPr/>
      </xdr:nvSpPr>
      <xdr:spPr>
        <a:xfrm>
          <a:off x="9312402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62</xdr:col>
      <xdr:colOff>0</xdr:colOff>
      <xdr:row>20</xdr:row>
      <xdr:rowOff>0</xdr:rowOff>
    </xdr:from>
    <xdr:to>
      <xdr:col>64</xdr:col>
      <xdr:colOff>7620</xdr:colOff>
      <xdr:row>22</xdr:row>
      <xdr:rowOff>0</xdr:rowOff>
    </xdr:to>
    <xdr:sp macro="[0]!NextSection" textlink="">
      <xdr:nvSpPr>
        <xdr:cNvPr id="10" name="Vijfhoek 9">
          <a:extLst>
            <a:ext uri="{FF2B5EF4-FFF2-40B4-BE49-F238E27FC236}">
              <a16:creationId xmlns:a16="http://schemas.microsoft.com/office/drawing/2014/main" id="{00000000-0008-0000-0100-00000A000000}"/>
            </a:ext>
          </a:extLst>
        </xdr:cNvPr>
        <xdr:cNvSpPr/>
      </xdr:nvSpPr>
      <xdr:spPr>
        <a:xfrm>
          <a:off x="5053584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8</xdr:col>
      <xdr:colOff>0</xdr:colOff>
      <xdr:row>20</xdr:row>
      <xdr:rowOff>0</xdr:rowOff>
    </xdr:from>
    <xdr:to>
      <xdr:col>10</xdr:col>
      <xdr:colOff>0</xdr:colOff>
      <xdr:row>22</xdr:row>
      <xdr:rowOff>0</xdr:rowOff>
    </xdr:to>
    <xdr:sp macro="[0]!NextSection" textlink="">
      <xdr:nvSpPr>
        <xdr:cNvPr id="11" name="Vijfhoek 10">
          <a:extLst>
            <a:ext uri="{FF2B5EF4-FFF2-40B4-BE49-F238E27FC236}">
              <a16:creationId xmlns:a16="http://schemas.microsoft.com/office/drawing/2014/main" id="{00000000-0008-0000-0100-00000B000000}"/>
            </a:ext>
          </a:extLst>
        </xdr:cNvPr>
        <xdr:cNvSpPr/>
      </xdr:nvSpPr>
      <xdr:spPr>
        <a:xfrm>
          <a:off x="794766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78</xdr:col>
      <xdr:colOff>0</xdr:colOff>
      <xdr:row>20</xdr:row>
      <xdr:rowOff>0</xdr:rowOff>
    </xdr:from>
    <xdr:to>
      <xdr:col>80</xdr:col>
      <xdr:colOff>0</xdr:colOff>
      <xdr:row>22</xdr:row>
      <xdr:rowOff>0</xdr:rowOff>
    </xdr:to>
    <xdr:sp macro="[0]!SectionBack" textlink="">
      <xdr:nvSpPr>
        <xdr:cNvPr id="12" name="Vijfhoek 11">
          <a:extLst>
            <a:ext uri="{FF2B5EF4-FFF2-40B4-BE49-F238E27FC236}">
              <a16:creationId xmlns:a16="http://schemas.microsoft.com/office/drawing/2014/main" id="{00000000-0008-0000-0100-00000C000000}"/>
            </a:ext>
          </a:extLst>
        </xdr:cNvPr>
        <xdr:cNvSpPr/>
      </xdr:nvSpPr>
      <xdr:spPr>
        <a:xfrm flipH="1">
          <a:off x="6348222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96</xdr:col>
      <xdr:colOff>0</xdr:colOff>
      <xdr:row>20</xdr:row>
      <xdr:rowOff>0</xdr:rowOff>
    </xdr:from>
    <xdr:to>
      <xdr:col>98</xdr:col>
      <xdr:colOff>0</xdr:colOff>
      <xdr:row>22</xdr:row>
      <xdr:rowOff>0</xdr:rowOff>
    </xdr:to>
    <xdr:sp macro="[0]!SectionBack" textlink="">
      <xdr:nvSpPr>
        <xdr:cNvPr id="13" name="Vijfhoek 12">
          <a:extLst>
            <a:ext uri="{FF2B5EF4-FFF2-40B4-BE49-F238E27FC236}">
              <a16:creationId xmlns:a16="http://schemas.microsoft.com/office/drawing/2014/main" id="{00000000-0008-0000-0100-00000D000000}"/>
            </a:ext>
          </a:extLst>
        </xdr:cNvPr>
        <xdr:cNvSpPr/>
      </xdr:nvSpPr>
      <xdr:spPr>
        <a:xfrm flipH="1">
          <a:off x="7767828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114</xdr:col>
      <xdr:colOff>0</xdr:colOff>
      <xdr:row>20</xdr:row>
      <xdr:rowOff>0</xdr:rowOff>
    </xdr:from>
    <xdr:to>
      <xdr:col>116</xdr:col>
      <xdr:colOff>0</xdr:colOff>
      <xdr:row>22</xdr:row>
      <xdr:rowOff>0</xdr:rowOff>
    </xdr:to>
    <xdr:sp macro="[0]!SectionBack" textlink="">
      <xdr:nvSpPr>
        <xdr:cNvPr id="14" name="Vijfhoek 13">
          <a:extLst>
            <a:ext uri="{FF2B5EF4-FFF2-40B4-BE49-F238E27FC236}">
              <a16:creationId xmlns:a16="http://schemas.microsoft.com/office/drawing/2014/main" id="{00000000-0008-0000-0100-00000E000000}"/>
            </a:ext>
          </a:extLst>
        </xdr:cNvPr>
        <xdr:cNvSpPr/>
      </xdr:nvSpPr>
      <xdr:spPr>
        <a:xfrm flipH="1">
          <a:off x="9187434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editAs="oneCell">
    <xdr:from>
      <xdr:col>143</xdr:col>
      <xdr:colOff>11207</xdr:colOff>
      <xdr:row>4</xdr:row>
      <xdr:rowOff>8965</xdr:rowOff>
    </xdr:from>
    <xdr:to>
      <xdr:col>143</xdr:col>
      <xdr:colOff>425824</xdr:colOff>
      <xdr:row>5</xdr:row>
      <xdr:rowOff>20170</xdr:rowOff>
    </xdr:to>
    <xdr:pic macro="[0]!implementor">
      <xdr:nvPicPr>
        <xdr:cNvPr id="15" name="Afbeelding 14" descr="CF">
          <a:extLst>
            <a:ext uri="{FF2B5EF4-FFF2-40B4-BE49-F238E27FC236}">
              <a16:creationId xmlns:a16="http://schemas.microsoft.com/office/drawing/2014/main" id="{00000000-0008-0000-01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7316047" y="1129105"/>
          <a:ext cx="414617" cy="4150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0</xdr:colOff>
      <xdr:row>6</xdr:row>
      <xdr:rowOff>0</xdr:rowOff>
    </xdr:from>
    <xdr:to>
      <xdr:col>143</xdr:col>
      <xdr:colOff>425824</xdr:colOff>
      <xdr:row>7</xdr:row>
      <xdr:rowOff>22411</xdr:rowOff>
    </xdr:to>
    <xdr:pic macro="[0]!Coordinator">
      <xdr:nvPicPr>
        <xdr:cNvPr id="16" name="Afbeelding 15" descr="CO">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7304840" y="1584960"/>
          <a:ext cx="425824" cy="426272"/>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8</xdr:row>
      <xdr:rowOff>0</xdr:rowOff>
    </xdr:from>
    <xdr:to>
      <xdr:col>143</xdr:col>
      <xdr:colOff>425825</xdr:colOff>
      <xdr:row>9</xdr:row>
      <xdr:rowOff>11208</xdr:rowOff>
    </xdr:to>
    <xdr:pic macro="[0]!Shaper">
      <xdr:nvPicPr>
        <xdr:cNvPr id="17" name="Afbeelding 16" descr="SH">
          <a:extLst>
            <a:ext uri="{FF2B5EF4-FFF2-40B4-BE49-F238E27FC236}">
              <a16:creationId xmlns:a16="http://schemas.microsoft.com/office/drawing/2014/main" id="{00000000-0008-0000-01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07316047" y="2049780"/>
          <a:ext cx="414618" cy="4150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10</xdr:row>
      <xdr:rowOff>0</xdr:rowOff>
    </xdr:from>
    <xdr:to>
      <xdr:col>143</xdr:col>
      <xdr:colOff>425825</xdr:colOff>
      <xdr:row>11</xdr:row>
      <xdr:rowOff>11206</xdr:rowOff>
    </xdr:to>
    <xdr:pic macro="[0]!Plant">
      <xdr:nvPicPr>
        <xdr:cNvPr id="18" name="Afbeelding 17" descr="PL">
          <a:extLst>
            <a:ext uri="{FF2B5EF4-FFF2-40B4-BE49-F238E27FC236}">
              <a16:creationId xmlns:a16="http://schemas.microsoft.com/office/drawing/2014/main" id="{00000000-0008-0000-0100-000012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07316047" y="2514600"/>
          <a:ext cx="414618" cy="415066"/>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12</xdr:row>
      <xdr:rowOff>0</xdr:rowOff>
    </xdr:from>
    <xdr:to>
      <xdr:col>143</xdr:col>
      <xdr:colOff>425825</xdr:colOff>
      <xdr:row>13</xdr:row>
      <xdr:rowOff>11206</xdr:rowOff>
    </xdr:to>
    <xdr:pic macro="[0]!Resource">
      <xdr:nvPicPr>
        <xdr:cNvPr id="19" name="Afbeelding 18" descr="RI">
          <a:extLst>
            <a:ext uri="{FF2B5EF4-FFF2-40B4-BE49-F238E27FC236}">
              <a16:creationId xmlns:a16="http://schemas.microsoft.com/office/drawing/2014/main" id="{00000000-0008-0000-0100-000013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07316047" y="2979420"/>
          <a:ext cx="414618" cy="4150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14</xdr:row>
      <xdr:rowOff>0</xdr:rowOff>
    </xdr:from>
    <xdr:to>
      <xdr:col>143</xdr:col>
      <xdr:colOff>425825</xdr:colOff>
      <xdr:row>15</xdr:row>
      <xdr:rowOff>11206</xdr:rowOff>
    </xdr:to>
    <xdr:pic macro="[0]!Monitor">
      <xdr:nvPicPr>
        <xdr:cNvPr id="20" name="Afbeelding 19" descr="ME">
          <a:extLst>
            <a:ext uri="{FF2B5EF4-FFF2-40B4-BE49-F238E27FC236}">
              <a16:creationId xmlns:a16="http://schemas.microsoft.com/office/drawing/2014/main" id="{00000000-0008-0000-0100-000014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07316047" y="3444240"/>
          <a:ext cx="414618" cy="415066"/>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16</xdr:row>
      <xdr:rowOff>0</xdr:rowOff>
    </xdr:from>
    <xdr:to>
      <xdr:col>143</xdr:col>
      <xdr:colOff>425825</xdr:colOff>
      <xdr:row>17</xdr:row>
      <xdr:rowOff>11206</xdr:rowOff>
    </xdr:to>
    <xdr:pic macro="[0]!TeamWorker">
      <xdr:nvPicPr>
        <xdr:cNvPr id="21" name="Afbeelding 20" descr="TW">
          <a:extLst>
            <a:ext uri="{FF2B5EF4-FFF2-40B4-BE49-F238E27FC236}">
              <a16:creationId xmlns:a16="http://schemas.microsoft.com/office/drawing/2014/main" id="{00000000-0008-0000-0100-000015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07316047" y="3909060"/>
          <a:ext cx="414618" cy="4150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18</xdr:row>
      <xdr:rowOff>0</xdr:rowOff>
    </xdr:from>
    <xdr:to>
      <xdr:col>143</xdr:col>
      <xdr:colOff>425825</xdr:colOff>
      <xdr:row>19</xdr:row>
      <xdr:rowOff>11206</xdr:rowOff>
    </xdr:to>
    <xdr:pic macro="[0]!Completer">
      <xdr:nvPicPr>
        <xdr:cNvPr id="22" name="Afbeelding 21" descr="CF">
          <a:extLst>
            <a:ext uri="{FF2B5EF4-FFF2-40B4-BE49-F238E27FC236}">
              <a16:creationId xmlns:a16="http://schemas.microsoft.com/office/drawing/2014/main" id="{00000000-0008-0000-01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7316047" y="4373880"/>
          <a:ext cx="414618" cy="4150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11208</xdr:colOff>
      <xdr:row>20</xdr:row>
      <xdr:rowOff>1</xdr:rowOff>
    </xdr:from>
    <xdr:to>
      <xdr:col>143</xdr:col>
      <xdr:colOff>425826</xdr:colOff>
      <xdr:row>21</xdr:row>
      <xdr:rowOff>11207</xdr:rowOff>
    </xdr:to>
    <xdr:pic macro="[0]!Specialist">
      <xdr:nvPicPr>
        <xdr:cNvPr id="23" name="Afbeelding 22" descr="SP">
          <a:extLst>
            <a:ext uri="{FF2B5EF4-FFF2-40B4-BE49-F238E27FC236}">
              <a16:creationId xmlns:a16="http://schemas.microsoft.com/office/drawing/2014/main" id="{00000000-0008-0000-0100-000017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07316048" y="4838701"/>
          <a:ext cx="414618" cy="4150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140</xdr:col>
      <xdr:colOff>1</xdr:colOff>
      <xdr:row>1</xdr:row>
      <xdr:rowOff>22412</xdr:rowOff>
    </xdr:from>
    <xdr:to>
      <xdr:col>141</xdr:col>
      <xdr:colOff>663388</xdr:colOff>
      <xdr:row>2</xdr:row>
      <xdr:rowOff>338295</xdr:rowOff>
    </xdr:to>
    <xdr:sp macro="[0]!ToStart" textlink="">
      <xdr:nvSpPr>
        <xdr:cNvPr id="24" name="Afgeronde rechthoek 23">
          <a:extLst>
            <a:ext uri="{FF2B5EF4-FFF2-40B4-BE49-F238E27FC236}">
              <a16:creationId xmlns:a16="http://schemas.microsoft.com/office/drawing/2014/main" id="{00000000-0008-0000-0100-000018000000}"/>
            </a:ext>
          </a:extLst>
        </xdr:cNvPr>
        <xdr:cNvSpPr/>
      </xdr:nvSpPr>
      <xdr:spPr>
        <a:xfrm>
          <a:off x="105049321" y="251012"/>
          <a:ext cx="1288227" cy="53686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200" b="0"/>
            <a:t>Back to Start</a:t>
          </a:r>
          <a:endParaRPr lang="nl-NL" sz="1000" b="0"/>
        </a:p>
      </xdr:txBody>
    </xdr:sp>
    <xdr:clientData fPrintsWithSheet="0"/>
  </xdr:twoCellAnchor>
  <xdr:twoCellAnchor>
    <xdr:from>
      <xdr:col>142</xdr:col>
      <xdr:colOff>481853</xdr:colOff>
      <xdr:row>1</xdr:row>
      <xdr:rowOff>0</xdr:rowOff>
    </xdr:from>
    <xdr:to>
      <xdr:col>144</xdr:col>
      <xdr:colOff>0</xdr:colOff>
      <xdr:row>2</xdr:row>
      <xdr:rowOff>315883</xdr:rowOff>
    </xdr:to>
    <xdr:sp macro="[0]!Printpreview" textlink="">
      <xdr:nvSpPr>
        <xdr:cNvPr id="25" name="Afgeronde rechthoek 24">
          <a:extLst>
            <a:ext uri="{FF2B5EF4-FFF2-40B4-BE49-F238E27FC236}">
              <a16:creationId xmlns:a16="http://schemas.microsoft.com/office/drawing/2014/main" id="{00000000-0008-0000-0100-000019000000}"/>
            </a:ext>
          </a:extLst>
        </xdr:cNvPr>
        <xdr:cNvSpPr/>
      </xdr:nvSpPr>
      <xdr:spPr>
        <a:xfrm>
          <a:off x="107161853" y="228600"/>
          <a:ext cx="600187" cy="53686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nl-NL" sz="2800">
              <a:sym typeface="Webdings"/>
            </a:rPr>
            <a:t></a:t>
          </a:r>
          <a:endParaRPr lang="nl-NL" sz="1100"/>
        </a:p>
      </xdr:txBody>
    </xdr:sp>
    <xdr:clientData fPrintsWithSheet="0"/>
  </xdr:twoCellAnchor>
  <xdr:twoCellAnchor>
    <xdr:from>
      <xdr:col>127</xdr:col>
      <xdr:colOff>35859</xdr:colOff>
      <xdr:row>25</xdr:row>
      <xdr:rowOff>188258</xdr:rowOff>
    </xdr:from>
    <xdr:to>
      <xdr:col>144</xdr:col>
      <xdr:colOff>0</xdr:colOff>
      <xdr:row>51</xdr:row>
      <xdr:rowOff>183777</xdr:rowOff>
    </xdr:to>
    <xdr:graphicFrame macro="">
      <xdr:nvGraphicFramePr>
        <xdr:cNvPr id="26" name="Grafiek 25">
          <a:extLst>
            <a:ext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140</xdr:col>
      <xdr:colOff>1</xdr:colOff>
      <xdr:row>22</xdr:row>
      <xdr:rowOff>143436</xdr:rowOff>
    </xdr:from>
    <xdr:ext cx="2716305" cy="609013"/>
    <xdr:sp macro="" textlink="">
      <xdr:nvSpPr>
        <xdr:cNvPr id="27" name="Tekstvak 26">
          <a:extLst>
            <a:ext uri="{FF2B5EF4-FFF2-40B4-BE49-F238E27FC236}">
              <a16:creationId xmlns:a16="http://schemas.microsoft.com/office/drawing/2014/main" id="{00000000-0008-0000-0100-00001B000000}"/>
            </a:ext>
          </a:extLst>
        </xdr:cNvPr>
        <xdr:cNvSpPr txBox="1"/>
      </xdr:nvSpPr>
      <xdr:spPr>
        <a:xfrm>
          <a:off x="105049321" y="5446956"/>
          <a:ext cx="2716305" cy="609013"/>
        </a:xfrm>
        <a:prstGeom prst="rect">
          <a:avLst/>
        </a:prstGeom>
        <a:solidFill>
          <a:schemeClr val="tx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nl-NL" sz="1100">
              <a:solidFill>
                <a:schemeClr val="bg1"/>
              </a:solidFill>
            </a:rPr>
            <a:t>Blue highlighted Roles are most applicable. By clicking on the icon, information about this role will be shown.</a:t>
          </a:r>
        </a:p>
      </xdr:txBody>
    </xdr:sp>
    <xdr:clientData fPrintsWithSheet="0"/>
  </xdr:oneCellAnchor>
  <xdr:twoCellAnchor editAs="oneCell">
    <xdr:from>
      <xdr:col>132</xdr:col>
      <xdr:colOff>1</xdr:colOff>
      <xdr:row>20</xdr:row>
      <xdr:rowOff>0</xdr:rowOff>
    </xdr:from>
    <xdr:to>
      <xdr:col>133</xdr:col>
      <xdr:colOff>1</xdr:colOff>
      <xdr:row>20</xdr:row>
      <xdr:rowOff>403411</xdr:rowOff>
    </xdr:to>
    <xdr:pic>
      <xdr:nvPicPr>
        <xdr:cNvPr id="28" name="Afbeelding 27" descr="PL">
          <a:extLst>
            <a:ext uri="{FF2B5EF4-FFF2-40B4-BE49-F238E27FC236}">
              <a16:creationId xmlns:a16="http://schemas.microsoft.com/office/drawing/2014/main" id="{00000000-0008-0000-0100-00001C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10183368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133</xdr:col>
      <xdr:colOff>1</xdr:colOff>
      <xdr:row>20</xdr:row>
      <xdr:rowOff>0</xdr:rowOff>
    </xdr:from>
    <xdr:to>
      <xdr:col>134</xdr:col>
      <xdr:colOff>1</xdr:colOff>
      <xdr:row>20</xdr:row>
      <xdr:rowOff>403411</xdr:rowOff>
    </xdr:to>
    <xdr:pic>
      <xdr:nvPicPr>
        <xdr:cNvPr id="29" name="Afbeelding 28" descr="RI">
          <a:extLst>
            <a:ext uri="{FF2B5EF4-FFF2-40B4-BE49-F238E27FC236}">
              <a16:creationId xmlns:a16="http://schemas.microsoft.com/office/drawing/2014/main" id="{00000000-0008-0000-0100-00001D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102161341"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130</xdr:col>
      <xdr:colOff>0</xdr:colOff>
      <xdr:row>20</xdr:row>
      <xdr:rowOff>0</xdr:rowOff>
    </xdr:from>
    <xdr:to>
      <xdr:col>131</xdr:col>
      <xdr:colOff>0</xdr:colOff>
      <xdr:row>20</xdr:row>
      <xdr:rowOff>403411</xdr:rowOff>
    </xdr:to>
    <xdr:pic>
      <xdr:nvPicPr>
        <xdr:cNvPr id="30" name="Afbeelding 29" descr="CO">
          <a:extLst>
            <a:ext uri="{FF2B5EF4-FFF2-40B4-BE49-F238E27FC236}">
              <a16:creationId xmlns:a16="http://schemas.microsoft.com/office/drawing/2014/main" id="{00000000-0008-0000-0100-00001E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101178360"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131</xdr:col>
      <xdr:colOff>1</xdr:colOff>
      <xdr:row>20</xdr:row>
      <xdr:rowOff>0</xdr:rowOff>
    </xdr:from>
    <xdr:to>
      <xdr:col>132</xdr:col>
      <xdr:colOff>1</xdr:colOff>
      <xdr:row>20</xdr:row>
      <xdr:rowOff>403411</xdr:rowOff>
    </xdr:to>
    <xdr:pic>
      <xdr:nvPicPr>
        <xdr:cNvPr id="31" name="Afbeelding 30" descr="SH">
          <a:extLst>
            <a:ext uri="{FF2B5EF4-FFF2-40B4-BE49-F238E27FC236}">
              <a16:creationId xmlns:a16="http://schemas.microsoft.com/office/drawing/2014/main" id="{00000000-0008-0000-0100-00001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101506021"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134</xdr:col>
      <xdr:colOff>1</xdr:colOff>
      <xdr:row>20</xdr:row>
      <xdr:rowOff>0</xdr:rowOff>
    </xdr:from>
    <xdr:to>
      <xdr:col>135</xdr:col>
      <xdr:colOff>1</xdr:colOff>
      <xdr:row>20</xdr:row>
      <xdr:rowOff>403411</xdr:rowOff>
    </xdr:to>
    <xdr:pic>
      <xdr:nvPicPr>
        <xdr:cNvPr id="32" name="Afbeelding 31" descr="ME">
          <a:extLst>
            <a:ext uri="{FF2B5EF4-FFF2-40B4-BE49-F238E27FC236}">
              <a16:creationId xmlns:a16="http://schemas.microsoft.com/office/drawing/2014/main" id="{00000000-0008-0000-0100-000020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10248900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135</xdr:col>
      <xdr:colOff>0</xdr:colOff>
      <xdr:row>20</xdr:row>
      <xdr:rowOff>0</xdr:rowOff>
    </xdr:from>
    <xdr:to>
      <xdr:col>136</xdr:col>
      <xdr:colOff>0</xdr:colOff>
      <xdr:row>20</xdr:row>
      <xdr:rowOff>403411</xdr:rowOff>
    </xdr:to>
    <xdr:pic>
      <xdr:nvPicPr>
        <xdr:cNvPr id="33" name="Afbeelding 32" descr="TW">
          <a:extLst>
            <a:ext uri="{FF2B5EF4-FFF2-40B4-BE49-F238E27FC236}">
              <a16:creationId xmlns:a16="http://schemas.microsoft.com/office/drawing/2014/main" id="{00000000-0008-0000-0100-000021000000}"/>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102816660"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129</xdr:col>
      <xdr:colOff>1</xdr:colOff>
      <xdr:row>20</xdr:row>
      <xdr:rowOff>0</xdr:rowOff>
    </xdr:from>
    <xdr:to>
      <xdr:col>130</xdr:col>
      <xdr:colOff>1</xdr:colOff>
      <xdr:row>20</xdr:row>
      <xdr:rowOff>403411</xdr:rowOff>
    </xdr:to>
    <xdr:pic>
      <xdr:nvPicPr>
        <xdr:cNvPr id="34" name="Afbeelding 33" descr="IMP">
          <a:extLst>
            <a:ext uri="{FF2B5EF4-FFF2-40B4-BE49-F238E27FC236}">
              <a16:creationId xmlns:a16="http://schemas.microsoft.com/office/drawing/2014/main" id="{00000000-0008-0000-0100-000022000000}"/>
            </a:ext>
          </a:extLst>
        </xdr:cNvPr>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10085070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136</xdr:col>
      <xdr:colOff>1</xdr:colOff>
      <xdr:row>20</xdr:row>
      <xdr:rowOff>0</xdr:rowOff>
    </xdr:from>
    <xdr:to>
      <xdr:col>137</xdr:col>
      <xdr:colOff>1</xdr:colOff>
      <xdr:row>20</xdr:row>
      <xdr:rowOff>403411</xdr:rowOff>
    </xdr:to>
    <xdr:pic>
      <xdr:nvPicPr>
        <xdr:cNvPr id="35" name="Afbeelding 34" descr="CF">
          <a:extLst>
            <a:ext uri="{FF2B5EF4-FFF2-40B4-BE49-F238E27FC236}">
              <a16:creationId xmlns:a16="http://schemas.microsoft.com/office/drawing/2014/main" id="{00000000-0008-0000-0100-000023000000}"/>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103144321"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137</xdr:col>
      <xdr:colOff>1</xdr:colOff>
      <xdr:row>20</xdr:row>
      <xdr:rowOff>0</xdr:rowOff>
    </xdr:from>
    <xdr:to>
      <xdr:col>138</xdr:col>
      <xdr:colOff>1</xdr:colOff>
      <xdr:row>20</xdr:row>
      <xdr:rowOff>403411</xdr:rowOff>
    </xdr:to>
    <xdr:pic>
      <xdr:nvPicPr>
        <xdr:cNvPr id="36" name="Afbeelding 35" descr="SP">
          <a:extLst>
            <a:ext uri="{FF2B5EF4-FFF2-40B4-BE49-F238E27FC236}">
              <a16:creationId xmlns:a16="http://schemas.microsoft.com/office/drawing/2014/main" id="{00000000-0008-0000-0100-000024000000}"/>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10347198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5</xdr:col>
      <xdr:colOff>466166</xdr:colOff>
      <xdr:row>20</xdr:row>
      <xdr:rowOff>0</xdr:rowOff>
    </xdr:from>
    <xdr:to>
      <xdr:col>7</xdr:col>
      <xdr:colOff>502024</xdr:colOff>
      <xdr:row>22</xdr:row>
      <xdr:rowOff>2118</xdr:rowOff>
    </xdr:to>
    <xdr:sp macro="[0]!ToStart" textlink="">
      <xdr:nvSpPr>
        <xdr:cNvPr id="38" name="Afgeronde rechthoek 37">
          <a:extLst>
            <a:ext uri="{FF2B5EF4-FFF2-40B4-BE49-F238E27FC236}">
              <a16:creationId xmlns:a16="http://schemas.microsoft.com/office/drawing/2014/main" id="{00000000-0008-0000-0100-000026000000}"/>
            </a:ext>
          </a:extLst>
        </xdr:cNvPr>
        <xdr:cNvSpPr/>
      </xdr:nvSpPr>
      <xdr:spPr>
        <a:xfrm>
          <a:off x="6544237" y="4849906"/>
          <a:ext cx="1290916" cy="46828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200" b="0"/>
            <a:t>Back to Start</a:t>
          </a:r>
          <a:endParaRPr lang="nl-NL" sz="1000" b="0"/>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25</xdr:col>
      <xdr:colOff>609600</xdr:colOff>
      <xdr:row>19</xdr:row>
      <xdr:rowOff>45720</xdr:rowOff>
    </xdr:from>
    <xdr:to>
      <xdr:col>27</xdr:col>
      <xdr:colOff>617220</xdr:colOff>
      <xdr:row>21</xdr:row>
      <xdr:rowOff>45720</xdr:rowOff>
    </xdr:to>
    <xdr:sp macro="[0]!NextSection" textlink="">
      <xdr:nvSpPr>
        <xdr:cNvPr id="2" name="Vijfhoek 1">
          <a:extLst>
            <a:ext uri="{FF2B5EF4-FFF2-40B4-BE49-F238E27FC236}">
              <a16:creationId xmlns:a16="http://schemas.microsoft.com/office/drawing/2014/main" id="{00000000-0008-0000-0200-000002000000}"/>
            </a:ext>
          </a:extLst>
        </xdr:cNvPr>
        <xdr:cNvSpPr/>
      </xdr:nvSpPr>
      <xdr:spPr>
        <a:xfrm>
          <a:off x="22128480" y="482346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44</xdr:col>
      <xdr:colOff>0</xdr:colOff>
      <xdr:row>20</xdr:row>
      <xdr:rowOff>0</xdr:rowOff>
    </xdr:from>
    <xdr:to>
      <xdr:col>46</xdr:col>
      <xdr:colOff>0</xdr:colOff>
      <xdr:row>22</xdr:row>
      <xdr:rowOff>0</xdr:rowOff>
    </xdr:to>
    <xdr:sp macro="[0]!NextSection" textlink="">
      <xdr:nvSpPr>
        <xdr:cNvPr id="3" name="Vijfhoek 2">
          <a:extLst>
            <a:ext uri="{FF2B5EF4-FFF2-40B4-BE49-F238E27FC236}">
              <a16:creationId xmlns:a16="http://schemas.microsoft.com/office/drawing/2014/main" id="{00000000-0008-0000-0200-000003000000}"/>
            </a:ext>
          </a:extLst>
        </xdr:cNvPr>
        <xdr:cNvSpPr/>
      </xdr:nvSpPr>
      <xdr:spPr>
        <a:xfrm>
          <a:off x="3633978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42</xdr:col>
      <xdr:colOff>0</xdr:colOff>
      <xdr:row>20</xdr:row>
      <xdr:rowOff>0</xdr:rowOff>
    </xdr:from>
    <xdr:to>
      <xdr:col>44</xdr:col>
      <xdr:colOff>0</xdr:colOff>
      <xdr:row>22</xdr:row>
      <xdr:rowOff>0</xdr:rowOff>
    </xdr:to>
    <xdr:sp macro="[0]!SectionBack" textlink="">
      <xdr:nvSpPr>
        <xdr:cNvPr id="4" name="Vijfhoek 3">
          <a:extLst>
            <a:ext uri="{FF2B5EF4-FFF2-40B4-BE49-F238E27FC236}">
              <a16:creationId xmlns:a16="http://schemas.microsoft.com/office/drawing/2014/main" id="{00000000-0008-0000-0200-000004000000}"/>
            </a:ext>
          </a:extLst>
        </xdr:cNvPr>
        <xdr:cNvSpPr/>
      </xdr:nvSpPr>
      <xdr:spPr>
        <a:xfrm flipH="1">
          <a:off x="3509010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24</xdr:col>
      <xdr:colOff>0</xdr:colOff>
      <xdr:row>19</xdr:row>
      <xdr:rowOff>45720</xdr:rowOff>
    </xdr:from>
    <xdr:to>
      <xdr:col>26</xdr:col>
      <xdr:colOff>0</xdr:colOff>
      <xdr:row>21</xdr:row>
      <xdr:rowOff>45720</xdr:rowOff>
    </xdr:to>
    <xdr:sp macro="[0]!SectionBack" textlink="">
      <xdr:nvSpPr>
        <xdr:cNvPr id="5" name="Vijfhoek 4">
          <a:extLst>
            <a:ext uri="{FF2B5EF4-FFF2-40B4-BE49-F238E27FC236}">
              <a16:creationId xmlns:a16="http://schemas.microsoft.com/office/drawing/2014/main" id="{00000000-0008-0000-0200-000005000000}"/>
            </a:ext>
          </a:extLst>
        </xdr:cNvPr>
        <xdr:cNvSpPr/>
      </xdr:nvSpPr>
      <xdr:spPr>
        <a:xfrm flipH="1">
          <a:off x="20894040" y="482346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60</xdr:col>
      <xdr:colOff>0</xdr:colOff>
      <xdr:row>20</xdr:row>
      <xdr:rowOff>0</xdr:rowOff>
    </xdr:from>
    <xdr:to>
      <xdr:col>62</xdr:col>
      <xdr:colOff>0</xdr:colOff>
      <xdr:row>22</xdr:row>
      <xdr:rowOff>0</xdr:rowOff>
    </xdr:to>
    <xdr:sp macro="[0]!SectionBack" textlink="">
      <xdr:nvSpPr>
        <xdr:cNvPr id="6" name="Vijfhoek 5">
          <a:extLst>
            <a:ext uri="{FF2B5EF4-FFF2-40B4-BE49-F238E27FC236}">
              <a16:creationId xmlns:a16="http://schemas.microsoft.com/office/drawing/2014/main" id="{00000000-0008-0000-0200-000006000000}"/>
            </a:ext>
          </a:extLst>
        </xdr:cNvPr>
        <xdr:cNvSpPr/>
      </xdr:nvSpPr>
      <xdr:spPr>
        <a:xfrm flipH="1">
          <a:off x="4928616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79</xdr:col>
      <xdr:colOff>617220</xdr:colOff>
      <xdr:row>20</xdr:row>
      <xdr:rowOff>0</xdr:rowOff>
    </xdr:from>
    <xdr:to>
      <xdr:col>82</xdr:col>
      <xdr:colOff>0</xdr:colOff>
      <xdr:row>22</xdr:row>
      <xdr:rowOff>0</xdr:rowOff>
    </xdr:to>
    <xdr:sp macro="[0]!NextSection" textlink="">
      <xdr:nvSpPr>
        <xdr:cNvPr id="7" name="Vijfhoek 6">
          <a:extLst>
            <a:ext uri="{FF2B5EF4-FFF2-40B4-BE49-F238E27FC236}">
              <a16:creationId xmlns:a16="http://schemas.microsoft.com/office/drawing/2014/main" id="{00000000-0008-0000-0200-000007000000}"/>
            </a:ext>
          </a:extLst>
        </xdr:cNvPr>
        <xdr:cNvSpPr/>
      </xdr:nvSpPr>
      <xdr:spPr>
        <a:xfrm>
          <a:off x="6472428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98</xdr:col>
      <xdr:colOff>0</xdr:colOff>
      <xdr:row>20</xdr:row>
      <xdr:rowOff>0</xdr:rowOff>
    </xdr:from>
    <xdr:to>
      <xdr:col>100</xdr:col>
      <xdr:colOff>7620</xdr:colOff>
      <xdr:row>22</xdr:row>
      <xdr:rowOff>0</xdr:rowOff>
    </xdr:to>
    <xdr:sp macro="[0]!NextSection" textlink="">
      <xdr:nvSpPr>
        <xdr:cNvPr id="8" name="Vijfhoek 7">
          <a:extLst>
            <a:ext uri="{FF2B5EF4-FFF2-40B4-BE49-F238E27FC236}">
              <a16:creationId xmlns:a16="http://schemas.microsoft.com/office/drawing/2014/main" id="{00000000-0008-0000-0200-000008000000}"/>
            </a:ext>
          </a:extLst>
        </xdr:cNvPr>
        <xdr:cNvSpPr/>
      </xdr:nvSpPr>
      <xdr:spPr>
        <a:xfrm>
          <a:off x="7892796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116</xdr:col>
      <xdr:colOff>0</xdr:colOff>
      <xdr:row>20</xdr:row>
      <xdr:rowOff>0</xdr:rowOff>
    </xdr:from>
    <xdr:to>
      <xdr:col>118</xdr:col>
      <xdr:colOff>7620</xdr:colOff>
      <xdr:row>22</xdr:row>
      <xdr:rowOff>0</xdr:rowOff>
    </xdr:to>
    <xdr:sp macro="[0]!NextSection" textlink="">
      <xdr:nvSpPr>
        <xdr:cNvPr id="9" name="Vijfhoek 8">
          <a:extLst>
            <a:ext uri="{FF2B5EF4-FFF2-40B4-BE49-F238E27FC236}">
              <a16:creationId xmlns:a16="http://schemas.microsoft.com/office/drawing/2014/main" id="{00000000-0008-0000-0200-000009000000}"/>
            </a:ext>
          </a:extLst>
        </xdr:cNvPr>
        <xdr:cNvSpPr/>
      </xdr:nvSpPr>
      <xdr:spPr>
        <a:xfrm>
          <a:off x="9312402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62</xdr:col>
      <xdr:colOff>0</xdr:colOff>
      <xdr:row>20</xdr:row>
      <xdr:rowOff>0</xdr:rowOff>
    </xdr:from>
    <xdr:to>
      <xdr:col>64</xdr:col>
      <xdr:colOff>7620</xdr:colOff>
      <xdr:row>22</xdr:row>
      <xdr:rowOff>0</xdr:rowOff>
    </xdr:to>
    <xdr:sp macro="[0]!NextSection" textlink="">
      <xdr:nvSpPr>
        <xdr:cNvPr id="10" name="Vijfhoek 9">
          <a:extLst>
            <a:ext uri="{FF2B5EF4-FFF2-40B4-BE49-F238E27FC236}">
              <a16:creationId xmlns:a16="http://schemas.microsoft.com/office/drawing/2014/main" id="{00000000-0008-0000-0200-00000A000000}"/>
            </a:ext>
          </a:extLst>
        </xdr:cNvPr>
        <xdr:cNvSpPr/>
      </xdr:nvSpPr>
      <xdr:spPr>
        <a:xfrm>
          <a:off x="5053584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8</xdr:col>
      <xdr:colOff>0</xdr:colOff>
      <xdr:row>20</xdr:row>
      <xdr:rowOff>0</xdr:rowOff>
    </xdr:from>
    <xdr:to>
      <xdr:col>10</xdr:col>
      <xdr:colOff>0</xdr:colOff>
      <xdr:row>22</xdr:row>
      <xdr:rowOff>0</xdr:rowOff>
    </xdr:to>
    <xdr:sp macro="[0]!NextSection" textlink="">
      <xdr:nvSpPr>
        <xdr:cNvPr id="11" name="Vijfhoek 10">
          <a:extLst>
            <a:ext uri="{FF2B5EF4-FFF2-40B4-BE49-F238E27FC236}">
              <a16:creationId xmlns:a16="http://schemas.microsoft.com/office/drawing/2014/main" id="{00000000-0008-0000-0200-00000B000000}"/>
            </a:ext>
          </a:extLst>
        </xdr:cNvPr>
        <xdr:cNvSpPr/>
      </xdr:nvSpPr>
      <xdr:spPr>
        <a:xfrm>
          <a:off x="794766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78</xdr:col>
      <xdr:colOff>0</xdr:colOff>
      <xdr:row>20</xdr:row>
      <xdr:rowOff>0</xdr:rowOff>
    </xdr:from>
    <xdr:to>
      <xdr:col>80</xdr:col>
      <xdr:colOff>0</xdr:colOff>
      <xdr:row>22</xdr:row>
      <xdr:rowOff>0</xdr:rowOff>
    </xdr:to>
    <xdr:sp macro="[0]!SectionBack" textlink="">
      <xdr:nvSpPr>
        <xdr:cNvPr id="12" name="Vijfhoek 11">
          <a:extLst>
            <a:ext uri="{FF2B5EF4-FFF2-40B4-BE49-F238E27FC236}">
              <a16:creationId xmlns:a16="http://schemas.microsoft.com/office/drawing/2014/main" id="{00000000-0008-0000-0200-00000C000000}"/>
            </a:ext>
          </a:extLst>
        </xdr:cNvPr>
        <xdr:cNvSpPr/>
      </xdr:nvSpPr>
      <xdr:spPr>
        <a:xfrm flipH="1">
          <a:off x="6348222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96</xdr:col>
      <xdr:colOff>0</xdr:colOff>
      <xdr:row>20</xdr:row>
      <xdr:rowOff>0</xdr:rowOff>
    </xdr:from>
    <xdr:to>
      <xdr:col>98</xdr:col>
      <xdr:colOff>0</xdr:colOff>
      <xdr:row>22</xdr:row>
      <xdr:rowOff>0</xdr:rowOff>
    </xdr:to>
    <xdr:sp macro="[0]!SectionBack" textlink="">
      <xdr:nvSpPr>
        <xdr:cNvPr id="13" name="Vijfhoek 12">
          <a:extLst>
            <a:ext uri="{FF2B5EF4-FFF2-40B4-BE49-F238E27FC236}">
              <a16:creationId xmlns:a16="http://schemas.microsoft.com/office/drawing/2014/main" id="{00000000-0008-0000-0200-00000D000000}"/>
            </a:ext>
          </a:extLst>
        </xdr:cNvPr>
        <xdr:cNvSpPr/>
      </xdr:nvSpPr>
      <xdr:spPr>
        <a:xfrm flipH="1">
          <a:off x="7767828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114</xdr:col>
      <xdr:colOff>0</xdr:colOff>
      <xdr:row>20</xdr:row>
      <xdr:rowOff>0</xdr:rowOff>
    </xdr:from>
    <xdr:to>
      <xdr:col>116</xdr:col>
      <xdr:colOff>0</xdr:colOff>
      <xdr:row>22</xdr:row>
      <xdr:rowOff>0</xdr:rowOff>
    </xdr:to>
    <xdr:sp macro="[0]!SectionBack" textlink="">
      <xdr:nvSpPr>
        <xdr:cNvPr id="14" name="Vijfhoek 13">
          <a:extLst>
            <a:ext uri="{FF2B5EF4-FFF2-40B4-BE49-F238E27FC236}">
              <a16:creationId xmlns:a16="http://schemas.microsoft.com/office/drawing/2014/main" id="{00000000-0008-0000-0200-00000E000000}"/>
            </a:ext>
          </a:extLst>
        </xdr:cNvPr>
        <xdr:cNvSpPr/>
      </xdr:nvSpPr>
      <xdr:spPr>
        <a:xfrm flipH="1">
          <a:off x="9187434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editAs="oneCell">
    <xdr:from>
      <xdr:col>143</xdr:col>
      <xdr:colOff>11207</xdr:colOff>
      <xdr:row>4</xdr:row>
      <xdr:rowOff>8965</xdr:rowOff>
    </xdr:from>
    <xdr:to>
      <xdr:col>143</xdr:col>
      <xdr:colOff>425824</xdr:colOff>
      <xdr:row>5</xdr:row>
      <xdr:rowOff>20170</xdr:rowOff>
    </xdr:to>
    <xdr:pic macro="[0]!implementor">
      <xdr:nvPicPr>
        <xdr:cNvPr id="15" name="Afbeelding 14" descr="CF">
          <a:extLst>
            <a:ext uri="{FF2B5EF4-FFF2-40B4-BE49-F238E27FC236}">
              <a16:creationId xmlns:a16="http://schemas.microsoft.com/office/drawing/2014/main" id="{00000000-0008-0000-02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7316047" y="1129105"/>
          <a:ext cx="414617" cy="4150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0</xdr:colOff>
      <xdr:row>6</xdr:row>
      <xdr:rowOff>0</xdr:rowOff>
    </xdr:from>
    <xdr:to>
      <xdr:col>143</xdr:col>
      <xdr:colOff>425824</xdr:colOff>
      <xdr:row>7</xdr:row>
      <xdr:rowOff>22411</xdr:rowOff>
    </xdr:to>
    <xdr:pic macro="[0]!Coordinator">
      <xdr:nvPicPr>
        <xdr:cNvPr id="16" name="Afbeelding 15" descr="CO">
          <a:extLst>
            <a:ext uri="{FF2B5EF4-FFF2-40B4-BE49-F238E27FC236}">
              <a16:creationId xmlns:a16="http://schemas.microsoft.com/office/drawing/2014/main" id="{00000000-0008-0000-0200-00001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7304840" y="1584960"/>
          <a:ext cx="425824" cy="426272"/>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8</xdr:row>
      <xdr:rowOff>0</xdr:rowOff>
    </xdr:from>
    <xdr:to>
      <xdr:col>143</xdr:col>
      <xdr:colOff>425825</xdr:colOff>
      <xdr:row>9</xdr:row>
      <xdr:rowOff>11208</xdr:rowOff>
    </xdr:to>
    <xdr:pic macro="[0]!Shaper">
      <xdr:nvPicPr>
        <xdr:cNvPr id="17" name="Afbeelding 16" descr="SH">
          <a:extLst>
            <a:ext uri="{FF2B5EF4-FFF2-40B4-BE49-F238E27FC236}">
              <a16:creationId xmlns:a16="http://schemas.microsoft.com/office/drawing/2014/main" id="{00000000-0008-0000-02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07316047" y="2049780"/>
          <a:ext cx="414618" cy="4150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10</xdr:row>
      <xdr:rowOff>0</xdr:rowOff>
    </xdr:from>
    <xdr:to>
      <xdr:col>143</xdr:col>
      <xdr:colOff>425825</xdr:colOff>
      <xdr:row>11</xdr:row>
      <xdr:rowOff>11206</xdr:rowOff>
    </xdr:to>
    <xdr:pic macro="[0]!Plant">
      <xdr:nvPicPr>
        <xdr:cNvPr id="18" name="Afbeelding 17" descr="PL">
          <a:extLst>
            <a:ext uri="{FF2B5EF4-FFF2-40B4-BE49-F238E27FC236}">
              <a16:creationId xmlns:a16="http://schemas.microsoft.com/office/drawing/2014/main" id="{00000000-0008-0000-0200-000012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07316047" y="2514600"/>
          <a:ext cx="414618" cy="415066"/>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12</xdr:row>
      <xdr:rowOff>0</xdr:rowOff>
    </xdr:from>
    <xdr:to>
      <xdr:col>143</xdr:col>
      <xdr:colOff>425825</xdr:colOff>
      <xdr:row>13</xdr:row>
      <xdr:rowOff>11206</xdr:rowOff>
    </xdr:to>
    <xdr:pic macro="[0]!Resource">
      <xdr:nvPicPr>
        <xdr:cNvPr id="19" name="Afbeelding 18" descr="RI">
          <a:extLst>
            <a:ext uri="{FF2B5EF4-FFF2-40B4-BE49-F238E27FC236}">
              <a16:creationId xmlns:a16="http://schemas.microsoft.com/office/drawing/2014/main" id="{00000000-0008-0000-0200-000013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07316047" y="2979420"/>
          <a:ext cx="414618" cy="4150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14</xdr:row>
      <xdr:rowOff>0</xdr:rowOff>
    </xdr:from>
    <xdr:to>
      <xdr:col>143</xdr:col>
      <xdr:colOff>425825</xdr:colOff>
      <xdr:row>15</xdr:row>
      <xdr:rowOff>11206</xdr:rowOff>
    </xdr:to>
    <xdr:pic macro="[0]!Monitor">
      <xdr:nvPicPr>
        <xdr:cNvPr id="20" name="Afbeelding 19" descr="ME">
          <a:extLst>
            <a:ext uri="{FF2B5EF4-FFF2-40B4-BE49-F238E27FC236}">
              <a16:creationId xmlns:a16="http://schemas.microsoft.com/office/drawing/2014/main" id="{00000000-0008-0000-0200-000014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07316047" y="3444240"/>
          <a:ext cx="414618" cy="415066"/>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16</xdr:row>
      <xdr:rowOff>0</xdr:rowOff>
    </xdr:from>
    <xdr:to>
      <xdr:col>143</xdr:col>
      <xdr:colOff>425825</xdr:colOff>
      <xdr:row>17</xdr:row>
      <xdr:rowOff>11206</xdr:rowOff>
    </xdr:to>
    <xdr:pic macro="[0]!TeamWorker">
      <xdr:nvPicPr>
        <xdr:cNvPr id="21" name="Afbeelding 20" descr="TW">
          <a:extLst>
            <a:ext uri="{FF2B5EF4-FFF2-40B4-BE49-F238E27FC236}">
              <a16:creationId xmlns:a16="http://schemas.microsoft.com/office/drawing/2014/main" id="{00000000-0008-0000-0200-000015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07316047" y="3909060"/>
          <a:ext cx="414618" cy="4150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18</xdr:row>
      <xdr:rowOff>0</xdr:rowOff>
    </xdr:from>
    <xdr:to>
      <xdr:col>143</xdr:col>
      <xdr:colOff>425825</xdr:colOff>
      <xdr:row>19</xdr:row>
      <xdr:rowOff>11206</xdr:rowOff>
    </xdr:to>
    <xdr:pic macro="[0]!Completer">
      <xdr:nvPicPr>
        <xdr:cNvPr id="22" name="Afbeelding 21" descr="CF">
          <a:extLst>
            <a:ext uri="{FF2B5EF4-FFF2-40B4-BE49-F238E27FC236}">
              <a16:creationId xmlns:a16="http://schemas.microsoft.com/office/drawing/2014/main" id="{00000000-0008-0000-02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7316047" y="4373880"/>
          <a:ext cx="414618" cy="4150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11208</xdr:colOff>
      <xdr:row>20</xdr:row>
      <xdr:rowOff>1</xdr:rowOff>
    </xdr:from>
    <xdr:to>
      <xdr:col>143</xdr:col>
      <xdr:colOff>425826</xdr:colOff>
      <xdr:row>21</xdr:row>
      <xdr:rowOff>11207</xdr:rowOff>
    </xdr:to>
    <xdr:pic macro="[0]!Specialist">
      <xdr:nvPicPr>
        <xdr:cNvPr id="23" name="Afbeelding 22" descr="SP">
          <a:extLst>
            <a:ext uri="{FF2B5EF4-FFF2-40B4-BE49-F238E27FC236}">
              <a16:creationId xmlns:a16="http://schemas.microsoft.com/office/drawing/2014/main" id="{00000000-0008-0000-0200-000017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07316048" y="4838701"/>
          <a:ext cx="414618" cy="4150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140</xdr:col>
      <xdr:colOff>1</xdr:colOff>
      <xdr:row>1</xdr:row>
      <xdr:rowOff>22412</xdr:rowOff>
    </xdr:from>
    <xdr:to>
      <xdr:col>141</xdr:col>
      <xdr:colOff>663388</xdr:colOff>
      <xdr:row>2</xdr:row>
      <xdr:rowOff>338295</xdr:rowOff>
    </xdr:to>
    <xdr:sp macro="[0]!ToStart" textlink="">
      <xdr:nvSpPr>
        <xdr:cNvPr id="24" name="Afgeronde rechthoek 23">
          <a:extLst>
            <a:ext uri="{FF2B5EF4-FFF2-40B4-BE49-F238E27FC236}">
              <a16:creationId xmlns:a16="http://schemas.microsoft.com/office/drawing/2014/main" id="{00000000-0008-0000-0200-000018000000}"/>
            </a:ext>
          </a:extLst>
        </xdr:cNvPr>
        <xdr:cNvSpPr/>
      </xdr:nvSpPr>
      <xdr:spPr>
        <a:xfrm>
          <a:off x="105049321" y="251012"/>
          <a:ext cx="1288227" cy="53686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200" b="0"/>
            <a:t>Back to Start</a:t>
          </a:r>
          <a:endParaRPr lang="nl-NL" sz="1000" b="0"/>
        </a:p>
      </xdr:txBody>
    </xdr:sp>
    <xdr:clientData fPrintsWithSheet="0"/>
  </xdr:twoCellAnchor>
  <xdr:twoCellAnchor>
    <xdr:from>
      <xdr:col>142</xdr:col>
      <xdr:colOff>481853</xdr:colOff>
      <xdr:row>1</xdr:row>
      <xdr:rowOff>0</xdr:rowOff>
    </xdr:from>
    <xdr:to>
      <xdr:col>144</xdr:col>
      <xdr:colOff>0</xdr:colOff>
      <xdr:row>2</xdr:row>
      <xdr:rowOff>315883</xdr:rowOff>
    </xdr:to>
    <xdr:sp macro="[0]!Printpreview" textlink="">
      <xdr:nvSpPr>
        <xdr:cNvPr id="25" name="Afgeronde rechthoek 24">
          <a:extLst>
            <a:ext uri="{FF2B5EF4-FFF2-40B4-BE49-F238E27FC236}">
              <a16:creationId xmlns:a16="http://schemas.microsoft.com/office/drawing/2014/main" id="{00000000-0008-0000-0200-000019000000}"/>
            </a:ext>
          </a:extLst>
        </xdr:cNvPr>
        <xdr:cNvSpPr/>
      </xdr:nvSpPr>
      <xdr:spPr>
        <a:xfrm>
          <a:off x="107161853" y="228600"/>
          <a:ext cx="600187" cy="53686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nl-NL" sz="2800">
              <a:sym typeface="Webdings"/>
            </a:rPr>
            <a:t></a:t>
          </a:r>
          <a:endParaRPr lang="nl-NL" sz="1100"/>
        </a:p>
      </xdr:txBody>
    </xdr:sp>
    <xdr:clientData fPrintsWithSheet="0"/>
  </xdr:twoCellAnchor>
  <xdr:twoCellAnchor>
    <xdr:from>
      <xdr:col>127</xdr:col>
      <xdr:colOff>35859</xdr:colOff>
      <xdr:row>25</xdr:row>
      <xdr:rowOff>188258</xdr:rowOff>
    </xdr:from>
    <xdr:to>
      <xdr:col>144</xdr:col>
      <xdr:colOff>0</xdr:colOff>
      <xdr:row>51</xdr:row>
      <xdr:rowOff>183777</xdr:rowOff>
    </xdr:to>
    <xdr:graphicFrame macro="">
      <xdr:nvGraphicFramePr>
        <xdr:cNvPr id="26" name="Grafiek 25">
          <a:extLst>
            <a:ext uri="{FF2B5EF4-FFF2-40B4-BE49-F238E27FC236}">
              <a16:creationId xmlns:a16="http://schemas.microsoft.com/office/drawing/2014/main" id="{00000000-0008-0000-02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140</xdr:col>
      <xdr:colOff>1</xdr:colOff>
      <xdr:row>22</xdr:row>
      <xdr:rowOff>143436</xdr:rowOff>
    </xdr:from>
    <xdr:ext cx="2716305" cy="609013"/>
    <xdr:sp macro="" textlink="">
      <xdr:nvSpPr>
        <xdr:cNvPr id="27" name="Tekstvak 26">
          <a:extLst>
            <a:ext uri="{FF2B5EF4-FFF2-40B4-BE49-F238E27FC236}">
              <a16:creationId xmlns:a16="http://schemas.microsoft.com/office/drawing/2014/main" id="{00000000-0008-0000-0200-00001B000000}"/>
            </a:ext>
          </a:extLst>
        </xdr:cNvPr>
        <xdr:cNvSpPr txBox="1"/>
      </xdr:nvSpPr>
      <xdr:spPr>
        <a:xfrm>
          <a:off x="105049321" y="5446956"/>
          <a:ext cx="2716305" cy="609013"/>
        </a:xfrm>
        <a:prstGeom prst="rect">
          <a:avLst/>
        </a:prstGeom>
        <a:solidFill>
          <a:schemeClr val="tx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nl-NL" sz="1100">
              <a:solidFill>
                <a:schemeClr val="bg1"/>
              </a:solidFill>
            </a:rPr>
            <a:t>Blue highlighted Roles are most applicable. By clicking on the icon, information about this role will be shown.</a:t>
          </a:r>
        </a:p>
      </xdr:txBody>
    </xdr:sp>
    <xdr:clientData fPrintsWithSheet="0"/>
  </xdr:oneCellAnchor>
  <xdr:twoCellAnchor editAs="oneCell">
    <xdr:from>
      <xdr:col>132</xdr:col>
      <xdr:colOff>1</xdr:colOff>
      <xdr:row>20</xdr:row>
      <xdr:rowOff>0</xdr:rowOff>
    </xdr:from>
    <xdr:to>
      <xdr:col>133</xdr:col>
      <xdr:colOff>1</xdr:colOff>
      <xdr:row>20</xdr:row>
      <xdr:rowOff>403411</xdr:rowOff>
    </xdr:to>
    <xdr:pic>
      <xdr:nvPicPr>
        <xdr:cNvPr id="28" name="Afbeelding 27" descr="PL">
          <a:extLst>
            <a:ext uri="{FF2B5EF4-FFF2-40B4-BE49-F238E27FC236}">
              <a16:creationId xmlns:a16="http://schemas.microsoft.com/office/drawing/2014/main" id="{00000000-0008-0000-0200-00001C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10183368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133</xdr:col>
      <xdr:colOff>1</xdr:colOff>
      <xdr:row>20</xdr:row>
      <xdr:rowOff>0</xdr:rowOff>
    </xdr:from>
    <xdr:to>
      <xdr:col>134</xdr:col>
      <xdr:colOff>1</xdr:colOff>
      <xdr:row>20</xdr:row>
      <xdr:rowOff>403411</xdr:rowOff>
    </xdr:to>
    <xdr:pic>
      <xdr:nvPicPr>
        <xdr:cNvPr id="29" name="Afbeelding 28" descr="RI">
          <a:extLst>
            <a:ext uri="{FF2B5EF4-FFF2-40B4-BE49-F238E27FC236}">
              <a16:creationId xmlns:a16="http://schemas.microsoft.com/office/drawing/2014/main" id="{00000000-0008-0000-0200-00001D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102161341"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130</xdr:col>
      <xdr:colOff>0</xdr:colOff>
      <xdr:row>20</xdr:row>
      <xdr:rowOff>0</xdr:rowOff>
    </xdr:from>
    <xdr:to>
      <xdr:col>131</xdr:col>
      <xdr:colOff>0</xdr:colOff>
      <xdr:row>20</xdr:row>
      <xdr:rowOff>403411</xdr:rowOff>
    </xdr:to>
    <xdr:pic>
      <xdr:nvPicPr>
        <xdr:cNvPr id="30" name="Afbeelding 29" descr="CO">
          <a:extLst>
            <a:ext uri="{FF2B5EF4-FFF2-40B4-BE49-F238E27FC236}">
              <a16:creationId xmlns:a16="http://schemas.microsoft.com/office/drawing/2014/main" id="{00000000-0008-0000-0200-00001E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101178360"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131</xdr:col>
      <xdr:colOff>1</xdr:colOff>
      <xdr:row>20</xdr:row>
      <xdr:rowOff>0</xdr:rowOff>
    </xdr:from>
    <xdr:to>
      <xdr:col>132</xdr:col>
      <xdr:colOff>1</xdr:colOff>
      <xdr:row>20</xdr:row>
      <xdr:rowOff>403411</xdr:rowOff>
    </xdr:to>
    <xdr:pic>
      <xdr:nvPicPr>
        <xdr:cNvPr id="31" name="Afbeelding 30" descr="SH">
          <a:extLst>
            <a:ext uri="{FF2B5EF4-FFF2-40B4-BE49-F238E27FC236}">
              <a16:creationId xmlns:a16="http://schemas.microsoft.com/office/drawing/2014/main" id="{00000000-0008-0000-0200-00001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101506021"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134</xdr:col>
      <xdr:colOff>1</xdr:colOff>
      <xdr:row>20</xdr:row>
      <xdr:rowOff>0</xdr:rowOff>
    </xdr:from>
    <xdr:to>
      <xdr:col>135</xdr:col>
      <xdr:colOff>1</xdr:colOff>
      <xdr:row>20</xdr:row>
      <xdr:rowOff>403411</xdr:rowOff>
    </xdr:to>
    <xdr:pic>
      <xdr:nvPicPr>
        <xdr:cNvPr id="32" name="Afbeelding 31" descr="ME">
          <a:extLst>
            <a:ext uri="{FF2B5EF4-FFF2-40B4-BE49-F238E27FC236}">
              <a16:creationId xmlns:a16="http://schemas.microsoft.com/office/drawing/2014/main" id="{00000000-0008-0000-0200-000020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10248900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135</xdr:col>
      <xdr:colOff>0</xdr:colOff>
      <xdr:row>20</xdr:row>
      <xdr:rowOff>0</xdr:rowOff>
    </xdr:from>
    <xdr:to>
      <xdr:col>136</xdr:col>
      <xdr:colOff>0</xdr:colOff>
      <xdr:row>20</xdr:row>
      <xdr:rowOff>403411</xdr:rowOff>
    </xdr:to>
    <xdr:pic>
      <xdr:nvPicPr>
        <xdr:cNvPr id="33" name="Afbeelding 32" descr="TW">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102816660"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129</xdr:col>
      <xdr:colOff>1</xdr:colOff>
      <xdr:row>20</xdr:row>
      <xdr:rowOff>0</xdr:rowOff>
    </xdr:from>
    <xdr:to>
      <xdr:col>130</xdr:col>
      <xdr:colOff>1</xdr:colOff>
      <xdr:row>20</xdr:row>
      <xdr:rowOff>403411</xdr:rowOff>
    </xdr:to>
    <xdr:pic>
      <xdr:nvPicPr>
        <xdr:cNvPr id="34" name="Afbeelding 33" descr="IMP">
          <a:extLst>
            <a:ext uri="{FF2B5EF4-FFF2-40B4-BE49-F238E27FC236}">
              <a16:creationId xmlns:a16="http://schemas.microsoft.com/office/drawing/2014/main" id="{00000000-0008-0000-0200-000022000000}"/>
            </a:ext>
          </a:extLst>
        </xdr:cNvPr>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10085070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136</xdr:col>
      <xdr:colOff>1</xdr:colOff>
      <xdr:row>20</xdr:row>
      <xdr:rowOff>0</xdr:rowOff>
    </xdr:from>
    <xdr:to>
      <xdr:col>137</xdr:col>
      <xdr:colOff>1</xdr:colOff>
      <xdr:row>20</xdr:row>
      <xdr:rowOff>403411</xdr:rowOff>
    </xdr:to>
    <xdr:pic>
      <xdr:nvPicPr>
        <xdr:cNvPr id="35" name="Afbeelding 34" descr="CF">
          <a:extLst>
            <a:ext uri="{FF2B5EF4-FFF2-40B4-BE49-F238E27FC236}">
              <a16:creationId xmlns:a16="http://schemas.microsoft.com/office/drawing/2014/main" id="{00000000-0008-0000-0200-000023000000}"/>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103144321"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137</xdr:col>
      <xdr:colOff>1</xdr:colOff>
      <xdr:row>20</xdr:row>
      <xdr:rowOff>0</xdr:rowOff>
    </xdr:from>
    <xdr:to>
      <xdr:col>138</xdr:col>
      <xdr:colOff>1</xdr:colOff>
      <xdr:row>20</xdr:row>
      <xdr:rowOff>403411</xdr:rowOff>
    </xdr:to>
    <xdr:pic>
      <xdr:nvPicPr>
        <xdr:cNvPr id="36" name="Afbeelding 35" descr="SP">
          <a:extLst>
            <a:ext uri="{FF2B5EF4-FFF2-40B4-BE49-F238E27FC236}">
              <a16:creationId xmlns:a16="http://schemas.microsoft.com/office/drawing/2014/main" id="{00000000-0008-0000-0200-000024000000}"/>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10347198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5</xdr:col>
      <xdr:colOff>546844</xdr:colOff>
      <xdr:row>20</xdr:row>
      <xdr:rowOff>0</xdr:rowOff>
    </xdr:from>
    <xdr:to>
      <xdr:col>7</xdr:col>
      <xdr:colOff>582702</xdr:colOff>
      <xdr:row>22</xdr:row>
      <xdr:rowOff>2118</xdr:rowOff>
    </xdr:to>
    <xdr:sp macro="[0]!ToStart" textlink="">
      <xdr:nvSpPr>
        <xdr:cNvPr id="37" name="Afgeronde rechthoek 36">
          <a:extLst>
            <a:ext uri="{FF2B5EF4-FFF2-40B4-BE49-F238E27FC236}">
              <a16:creationId xmlns:a16="http://schemas.microsoft.com/office/drawing/2014/main" id="{00000000-0008-0000-0200-000025000000}"/>
            </a:ext>
          </a:extLst>
        </xdr:cNvPr>
        <xdr:cNvSpPr/>
      </xdr:nvSpPr>
      <xdr:spPr>
        <a:xfrm>
          <a:off x="6624915" y="4849906"/>
          <a:ext cx="1290916" cy="46828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200" b="0"/>
            <a:t>Back to Start</a:t>
          </a:r>
          <a:endParaRPr lang="nl-NL" sz="1000" b="0"/>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25</xdr:col>
      <xdr:colOff>609600</xdr:colOff>
      <xdr:row>19</xdr:row>
      <xdr:rowOff>45720</xdr:rowOff>
    </xdr:from>
    <xdr:to>
      <xdr:col>27</xdr:col>
      <xdr:colOff>617220</xdr:colOff>
      <xdr:row>21</xdr:row>
      <xdr:rowOff>45720</xdr:rowOff>
    </xdr:to>
    <xdr:sp macro="[0]!NextSection" textlink="">
      <xdr:nvSpPr>
        <xdr:cNvPr id="2" name="Vijfhoek 1">
          <a:extLst>
            <a:ext uri="{FF2B5EF4-FFF2-40B4-BE49-F238E27FC236}">
              <a16:creationId xmlns:a16="http://schemas.microsoft.com/office/drawing/2014/main" id="{00000000-0008-0000-0300-000002000000}"/>
            </a:ext>
          </a:extLst>
        </xdr:cNvPr>
        <xdr:cNvSpPr/>
      </xdr:nvSpPr>
      <xdr:spPr>
        <a:xfrm>
          <a:off x="22128480" y="482346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44</xdr:col>
      <xdr:colOff>0</xdr:colOff>
      <xdr:row>20</xdr:row>
      <xdr:rowOff>0</xdr:rowOff>
    </xdr:from>
    <xdr:to>
      <xdr:col>46</xdr:col>
      <xdr:colOff>0</xdr:colOff>
      <xdr:row>22</xdr:row>
      <xdr:rowOff>0</xdr:rowOff>
    </xdr:to>
    <xdr:sp macro="[0]!NextSection" textlink="">
      <xdr:nvSpPr>
        <xdr:cNvPr id="3" name="Vijfhoek 2">
          <a:extLst>
            <a:ext uri="{FF2B5EF4-FFF2-40B4-BE49-F238E27FC236}">
              <a16:creationId xmlns:a16="http://schemas.microsoft.com/office/drawing/2014/main" id="{00000000-0008-0000-0300-000003000000}"/>
            </a:ext>
          </a:extLst>
        </xdr:cNvPr>
        <xdr:cNvSpPr/>
      </xdr:nvSpPr>
      <xdr:spPr>
        <a:xfrm>
          <a:off x="3633978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42</xdr:col>
      <xdr:colOff>0</xdr:colOff>
      <xdr:row>20</xdr:row>
      <xdr:rowOff>0</xdr:rowOff>
    </xdr:from>
    <xdr:to>
      <xdr:col>44</xdr:col>
      <xdr:colOff>0</xdr:colOff>
      <xdr:row>22</xdr:row>
      <xdr:rowOff>0</xdr:rowOff>
    </xdr:to>
    <xdr:sp macro="[0]!SectionBack" textlink="">
      <xdr:nvSpPr>
        <xdr:cNvPr id="4" name="Vijfhoek 3">
          <a:extLst>
            <a:ext uri="{FF2B5EF4-FFF2-40B4-BE49-F238E27FC236}">
              <a16:creationId xmlns:a16="http://schemas.microsoft.com/office/drawing/2014/main" id="{00000000-0008-0000-0300-000004000000}"/>
            </a:ext>
          </a:extLst>
        </xdr:cNvPr>
        <xdr:cNvSpPr/>
      </xdr:nvSpPr>
      <xdr:spPr>
        <a:xfrm flipH="1">
          <a:off x="3509010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24</xdr:col>
      <xdr:colOff>0</xdr:colOff>
      <xdr:row>19</xdr:row>
      <xdr:rowOff>45720</xdr:rowOff>
    </xdr:from>
    <xdr:to>
      <xdr:col>26</xdr:col>
      <xdr:colOff>0</xdr:colOff>
      <xdr:row>21</xdr:row>
      <xdr:rowOff>45720</xdr:rowOff>
    </xdr:to>
    <xdr:sp macro="[0]!SectionBack" textlink="">
      <xdr:nvSpPr>
        <xdr:cNvPr id="5" name="Vijfhoek 4">
          <a:extLst>
            <a:ext uri="{FF2B5EF4-FFF2-40B4-BE49-F238E27FC236}">
              <a16:creationId xmlns:a16="http://schemas.microsoft.com/office/drawing/2014/main" id="{00000000-0008-0000-0300-000005000000}"/>
            </a:ext>
          </a:extLst>
        </xdr:cNvPr>
        <xdr:cNvSpPr/>
      </xdr:nvSpPr>
      <xdr:spPr>
        <a:xfrm flipH="1">
          <a:off x="20894040" y="482346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60</xdr:col>
      <xdr:colOff>0</xdr:colOff>
      <xdr:row>20</xdr:row>
      <xdr:rowOff>0</xdr:rowOff>
    </xdr:from>
    <xdr:to>
      <xdr:col>62</xdr:col>
      <xdr:colOff>0</xdr:colOff>
      <xdr:row>22</xdr:row>
      <xdr:rowOff>0</xdr:rowOff>
    </xdr:to>
    <xdr:sp macro="[0]!SectionBack" textlink="">
      <xdr:nvSpPr>
        <xdr:cNvPr id="6" name="Vijfhoek 5">
          <a:extLst>
            <a:ext uri="{FF2B5EF4-FFF2-40B4-BE49-F238E27FC236}">
              <a16:creationId xmlns:a16="http://schemas.microsoft.com/office/drawing/2014/main" id="{00000000-0008-0000-0300-000006000000}"/>
            </a:ext>
          </a:extLst>
        </xdr:cNvPr>
        <xdr:cNvSpPr/>
      </xdr:nvSpPr>
      <xdr:spPr>
        <a:xfrm flipH="1">
          <a:off x="4928616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79</xdr:col>
      <xdr:colOff>617220</xdr:colOff>
      <xdr:row>20</xdr:row>
      <xdr:rowOff>0</xdr:rowOff>
    </xdr:from>
    <xdr:to>
      <xdr:col>82</xdr:col>
      <xdr:colOff>0</xdr:colOff>
      <xdr:row>22</xdr:row>
      <xdr:rowOff>0</xdr:rowOff>
    </xdr:to>
    <xdr:sp macro="[0]!NextSection" textlink="">
      <xdr:nvSpPr>
        <xdr:cNvPr id="7" name="Vijfhoek 6">
          <a:extLst>
            <a:ext uri="{FF2B5EF4-FFF2-40B4-BE49-F238E27FC236}">
              <a16:creationId xmlns:a16="http://schemas.microsoft.com/office/drawing/2014/main" id="{00000000-0008-0000-0300-000007000000}"/>
            </a:ext>
          </a:extLst>
        </xdr:cNvPr>
        <xdr:cNvSpPr/>
      </xdr:nvSpPr>
      <xdr:spPr>
        <a:xfrm>
          <a:off x="6472428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98</xdr:col>
      <xdr:colOff>0</xdr:colOff>
      <xdr:row>20</xdr:row>
      <xdr:rowOff>0</xdr:rowOff>
    </xdr:from>
    <xdr:to>
      <xdr:col>100</xdr:col>
      <xdr:colOff>7620</xdr:colOff>
      <xdr:row>22</xdr:row>
      <xdr:rowOff>0</xdr:rowOff>
    </xdr:to>
    <xdr:sp macro="[0]!NextSection" textlink="">
      <xdr:nvSpPr>
        <xdr:cNvPr id="8" name="Vijfhoek 7">
          <a:extLst>
            <a:ext uri="{FF2B5EF4-FFF2-40B4-BE49-F238E27FC236}">
              <a16:creationId xmlns:a16="http://schemas.microsoft.com/office/drawing/2014/main" id="{00000000-0008-0000-0300-000008000000}"/>
            </a:ext>
          </a:extLst>
        </xdr:cNvPr>
        <xdr:cNvSpPr/>
      </xdr:nvSpPr>
      <xdr:spPr>
        <a:xfrm>
          <a:off x="7892796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116</xdr:col>
      <xdr:colOff>0</xdr:colOff>
      <xdr:row>20</xdr:row>
      <xdr:rowOff>0</xdr:rowOff>
    </xdr:from>
    <xdr:to>
      <xdr:col>118</xdr:col>
      <xdr:colOff>7620</xdr:colOff>
      <xdr:row>22</xdr:row>
      <xdr:rowOff>0</xdr:rowOff>
    </xdr:to>
    <xdr:sp macro="[0]!NextSection" textlink="">
      <xdr:nvSpPr>
        <xdr:cNvPr id="9" name="Vijfhoek 8">
          <a:extLst>
            <a:ext uri="{FF2B5EF4-FFF2-40B4-BE49-F238E27FC236}">
              <a16:creationId xmlns:a16="http://schemas.microsoft.com/office/drawing/2014/main" id="{00000000-0008-0000-0300-000009000000}"/>
            </a:ext>
          </a:extLst>
        </xdr:cNvPr>
        <xdr:cNvSpPr/>
      </xdr:nvSpPr>
      <xdr:spPr>
        <a:xfrm>
          <a:off x="9312402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62</xdr:col>
      <xdr:colOff>0</xdr:colOff>
      <xdr:row>20</xdr:row>
      <xdr:rowOff>0</xdr:rowOff>
    </xdr:from>
    <xdr:to>
      <xdr:col>64</xdr:col>
      <xdr:colOff>7620</xdr:colOff>
      <xdr:row>22</xdr:row>
      <xdr:rowOff>0</xdr:rowOff>
    </xdr:to>
    <xdr:sp macro="[0]!NextSection" textlink="">
      <xdr:nvSpPr>
        <xdr:cNvPr id="10" name="Vijfhoek 9">
          <a:extLst>
            <a:ext uri="{FF2B5EF4-FFF2-40B4-BE49-F238E27FC236}">
              <a16:creationId xmlns:a16="http://schemas.microsoft.com/office/drawing/2014/main" id="{00000000-0008-0000-0300-00000A000000}"/>
            </a:ext>
          </a:extLst>
        </xdr:cNvPr>
        <xdr:cNvSpPr/>
      </xdr:nvSpPr>
      <xdr:spPr>
        <a:xfrm>
          <a:off x="5053584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8</xdr:col>
      <xdr:colOff>0</xdr:colOff>
      <xdr:row>20</xdr:row>
      <xdr:rowOff>0</xdr:rowOff>
    </xdr:from>
    <xdr:to>
      <xdr:col>10</xdr:col>
      <xdr:colOff>0</xdr:colOff>
      <xdr:row>22</xdr:row>
      <xdr:rowOff>0</xdr:rowOff>
    </xdr:to>
    <xdr:sp macro="[0]!NextSection" textlink="">
      <xdr:nvSpPr>
        <xdr:cNvPr id="11" name="Vijfhoek 10">
          <a:extLst>
            <a:ext uri="{FF2B5EF4-FFF2-40B4-BE49-F238E27FC236}">
              <a16:creationId xmlns:a16="http://schemas.microsoft.com/office/drawing/2014/main" id="{00000000-0008-0000-0300-00000B000000}"/>
            </a:ext>
          </a:extLst>
        </xdr:cNvPr>
        <xdr:cNvSpPr/>
      </xdr:nvSpPr>
      <xdr:spPr>
        <a:xfrm>
          <a:off x="794766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78</xdr:col>
      <xdr:colOff>0</xdr:colOff>
      <xdr:row>20</xdr:row>
      <xdr:rowOff>0</xdr:rowOff>
    </xdr:from>
    <xdr:to>
      <xdr:col>80</xdr:col>
      <xdr:colOff>0</xdr:colOff>
      <xdr:row>22</xdr:row>
      <xdr:rowOff>0</xdr:rowOff>
    </xdr:to>
    <xdr:sp macro="[0]!SectionBack" textlink="">
      <xdr:nvSpPr>
        <xdr:cNvPr id="12" name="Vijfhoek 11">
          <a:extLst>
            <a:ext uri="{FF2B5EF4-FFF2-40B4-BE49-F238E27FC236}">
              <a16:creationId xmlns:a16="http://schemas.microsoft.com/office/drawing/2014/main" id="{00000000-0008-0000-0300-00000C000000}"/>
            </a:ext>
          </a:extLst>
        </xdr:cNvPr>
        <xdr:cNvSpPr/>
      </xdr:nvSpPr>
      <xdr:spPr>
        <a:xfrm flipH="1">
          <a:off x="6348222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96</xdr:col>
      <xdr:colOff>0</xdr:colOff>
      <xdr:row>20</xdr:row>
      <xdr:rowOff>0</xdr:rowOff>
    </xdr:from>
    <xdr:to>
      <xdr:col>98</xdr:col>
      <xdr:colOff>0</xdr:colOff>
      <xdr:row>22</xdr:row>
      <xdr:rowOff>0</xdr:rowOff>
    </xdr:to>
    <xdr:sp macro="[0]!SectionBack" textlink="">
      <xdr:nvSpPr>
        <xdr:cNvPr id="13" name="Vijfhoek 12">
          <a:extLst>
            <a:ext uri="{FF2B5EF4-FFF2-40B4-BE49-F238E27FC236}">
              <a16:creationId xmlns:a16="http://schemas.microsoft.com/office/drawing/2014/main" id="{00000000-0008-0000-0300-00000D000000}"/>
            </a:ext>
          </a:extLst>
        </xdr:cNvPr>
        <xdr:cNvSpPr/>
      </xdr:nvSpPr>
      <xdr:spPr>
        <a:xfrm flipH="1">
          <a:off x="7767828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114</xdr:col>
      <xdr:colOff>0</xdr:colOff>
      <xdr:row>20</xdr:row>
      <xdr:rowOff>0</xdr:rowOff>
    </xdr:from>
    <xdr:to>
      <xdr:col>116</xdr:col>
      <xdr:colOff>0</xdr:colOff>
      <xdr:row>22</xdr:row>
      <xdr:rowOff>0</xdr:rowOff>
    </xdr:to>
    <xdr:sp macro="[0]!SectionBack" textlink="">
      <xdr:nvSpPr>
        <xdr:cNvPr id="14" name="Vijfhoek 13">
          <a:extLst>
            <a:ext uri="{FF2B5EF4-FFF2-40B4-BE49-F238E27FC236}">
              <a16:creationId xmlns:a16="http://schemas.microsoft.com/office/drawing/2014/main" id="{00000000-0008-0000-0300-00000E000000}"/>
            </a:ext>
          </a:extLst>
        </xdr:cNvPr>
        <xdr:cNvSpPr/>
      </xdr:nvSpPr>
      <xdr:spPr>
        <a:xfrm flipH="1">
          <a:off x="9187434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editAs="oneCell">
    <xdr:from>
      <xdr:col>143</xdr:col>
      <xdr:colOff>11207</xdr:colOff>
      <xdr:row>4</xdr:row>
      <xdr:rowOff>8965</xdr:rowOff>
    </xdr:from>
    <xdr:to>
      <xdr:col>143</xdr:col>
      <xdr:colOff>425824</xdr:colOff>
      <xdr:row>5</xdr:row>
      <xdr:rowOff>20170</xdr:rowOff>
    </xdr:to>
    <xdr:pic macro="[0]!implementor">
      <xdr:nvPicPr>
        <xdr:cNvPr id="15" name="Afbeelding 14" descr="CF">
          <a:extLst>
            <a:ext uri="{FF2B5EF4-FFF2-40B4-BE49-F238E27FC236}">
              <a16:creationId xmlns:a16="http://schemas.microsoft.com/office/drawing/2014/main" id="{00000000-0008-0000-03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7316047" y="1129105"/>
          <a:ext cx="414617" cy="4150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0</xdr:colOff>
      <xdr:row>6</xdr:row>
      <xdr:rowOff>0</xdr:rowOff>
    </xdr:from>
    <xdr:to>
      <xdr:col>143</xdr:col>
      <xdr:colOff>425824</xdr:colOff>
      <xdr:row>7</xdr:row>
      <xdr:rowOff>22411</xdr:rowOff>
    </xdr:to>
    <xdr:pic macro="[0]!Coordinator">
      <xdr:nvPicPr>
        <xdr:cNvPr id="16" name="Afbeelding 15" descr="CO">
          <a:extLst>
            <a:ext uri="{FF2B5EF4-FFF2-40B4-BE49-F238E27FC236}">
              <a16:creationId xmlns:a16="http://schemas.microsoft.com/office/drawing/2014/main" id="{00000000-0008-0000-0300-00001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7304840" y="1584960"/>
          <a:ext cx="425824" cy="426272"/>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8</xdr:row>
      <xdr:rowOff>0</xdr:rowOff>
    </xdr:from>
    <xdr:to>
      <xdr:col>143</xdr:col>
      <xdr:colOff>425825</xdr:colOff>
      <xdr:row>9</xdr:row>
      <xdr:rowOff>11208</xdr:rowOff>
    </xdr:to>
    <xdr:pic macro="[0]!Shaper">
      <xdr:nvPicPr>
        <xdr:cNvPr id="17" name="Afbeelding 16" descr="SH">
          <a:extLst>
            <a:ext uri="{FF2B5EF4-FFF2-40B4-BE49-F238E27FC236}">
              <a16:creationId xmlns:a16="http://schemas.microsoft.com/office/drawing/2014/main" id="{00000000-0008-0000-03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07316047" y="2049780"/>
          <a:ext cx="414618" cy="4150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10</xdr:row>
      <xdr:rowOff>0</xdr:rowOff>
    </xdr:from>
    <xdr:to>
      <xdr:col>143</xdr:col>
      <xdr:colOff>425825</xdr:colOff>
      <xdr:row>11</xdr:row>
      <xdr:rowOff>11206</xdr:rowOff>
    </xdr:to>
    <xdr:pic macro="[0]!Plant">
      <xdr:nvPicPr>
        <xdr:cNvPr id="18" name="Afbeelding 17" descr="PL">
          <a:extLst>
            <a:ext uri="{FF2B5EF4-FFF2-40B4-BE49-F238E27FC236}">
              <a16:creationId xmlns:a16="http://schemas.microsoft.com/office/drawing/2014/main" id="{00000000-0008-0000-0300-000012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07316047" y="2514600"/>
          <a:ext cx="414618" cy="415066"/>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12</xdr:row>
      <xdr:rowOff>0</xdr:rowOff>
    </xdr:from>
    <xdr:to>
      <xdr:col>143</xdr:col>
      <xdr:colOff>425825</xdr:colOff>
      <xdr:row>13</xdr:row>
      <xdr:rowOff>11206</xdr:rowOff>
    </xdr:to>
    <xdr:pic macro="[0]!Resource">
      <xdr:nvPicPr>
        <xdr:cNvPr id="19" name="Afbeelding 18" descr="RI">
          <a:extLst>
            <a:ext uri="{FF2B5EF4-FFF2-40B4-BE49-F238E27FC236}">
              <a16:creationId xmlns:a16="http://schemas.microsoft.com/office/drawing/2014/main" id="{00000000-0008-0000-0300-000013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07316047" y="2979420"/>
          <a:ext cx="414618" cy="4150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14</xdr:row>
      <xdr:rowOff>0</xdr:rowOff>
    </xdr:from>
    <xdr:to>
      <xdr:col>143</xdr:col>
      <xdr:colOff>425825</xdr:colOff>
      <xdr:row>15</xdr:row>
      <xdr:rowOff>11206</xdr:rowOff>
    </xdr:to>
    <xdr:pic macro="[0]!Monitor">
      <xdr:nvPicPr>
        <xdr:cNvPr id="20" name="Afbeelding 19" descr="ME">
          <a:extLst>
            <a:ext uri="{FF2B5EF4-FFF2-40B4-BE49-F238E27FC236}">
              <a16:creationId xmlns:a16="http://schemas.microsoft.com/office/drawing/2014/main" id="{00000000-0008-0000-0300-000014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07316047" y="3444240"/>
          <a:ext cx="414618" cy="415066"/>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16</xdr:row>
      <xdr:rowOff>0</xdr:rowOff>
    </xdr:from>
    <xdr:to>
      <xdr:col>143</xdr:col>
      <xdr:colOff>425825</xdr:colOff>
      <xdr:row>17</xdr:row>
      <xdr:rowOff>11206</xdr:rowOff>
    </xdr:to>
    <xdr:pic macro="[0]!TeamWorker">
      <xdr:nvPicPr>
        <xdr:cNvPr id="21" name="Afbeelding 20" descr="TW">
          <a:extLst>
            <a:ext uri="{FF2B5EF4-FFF2-40B4-BE49-F238E27FC236}">
              <a16:creationId xmlns:a16="http://schemas.microsoft.com/office/drawing/2014/main" id="{00000000-0008-0000-0300-000015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07316047" y="3909060"/>
          <a:ext cx="414618" cy="4150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18</xdr:row>
      <xdr:rowOff>0</xdr:rowOff>
    </xdr:from>
    <xdr:to>
      <xdr:col>143</xdr:col>
      <xdr:colOff>425825</xdr:colOff>
      <xdr:row>19</xdr:row>
      <xdr:rowOff>11206</xdr:rowOff>
    </xdr:to>
    <xdr:pic macro="[0]!Completer">
      <xdr:nvPicPr>
        <xdr:cNvPr id="22" name="Afbeelding 21" descr="CF">
          <a:extLst>
            <a:ext uri="{FF2B5EF4-FFF2-40B4-BE49-F238E27FC236}">
              <a16:creationId xmlns:a16="http://schemas.microsoft.com/office/drawing/2014/main" id="{00000000-0008-0000-03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7316047" y="4373880"/>
          <a:ext cx="414618" cy="4150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11208</xdr:colOff>
      <xdr:row>20</xdr:row>
      <xdr:rowOff>1</xdr:rowOff>
    </xdr:from>
    <xdr:to>
      <xdr:col>143</xdr:col>
      <xdr:colOff>425826</xdr:colOff>
      <xdr:row>21</xdr:row>
      <xdr:rowOff>11207</xdr:rowOff>
    </xdr:to>
    <xdr:pic macro="[0]!Specialist">
      <xdr:nvPicPr>
        <xdr:cNvPr id="23" name="Afbeelding 22" descr="SP">
          <a:extLst>
            <a:ext uri="{FF2B5EF4-FFF2-40B4-BE49-F238E27FC236}">
              <a16:creationId xmlns:a16="http://schemas.microsoft.com/office/drawing/2014/main" id="{00000000-0008-0000-0300-000017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07316048" y="4838701"/>
          <a:ext cx="414618" cy="4150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140</xdr:col>
      <xdr:colOff>1</xdr:colOff>
      <xdr:row>1</xdr:row>
      <xdr:rowOff>22412</xdr:rowOff>
    </xdr:from>
    <xdr:to>
      <xdr:col>141</xdr:col>
      <xdr:colOff>663388</xdr:colOff>
      <xdr:row>2</xdr:row>
      <xdr:rowOff>338295</xdr:rowOff>
    </xdr:to>
    <xdr:sp macro="[0]!ToStart" textlink="">
      <xdr:nvSpPr>
        <xdr:cNvPr id="24" name="Afgeronde rechthoek 23">
          <a:extLst>
            <a:ext uri="{FF2B5EF4-FFF2-40B4-BE49-F238E27FC236}">
              <a16:creationId xmlns:a16="http://schemas.microsoft.com/office/drawing/2014/main" id="{00000000-0008-0000-0300-000018000000}"/>
            </a:ext>
          </a:extLst>
        </xdr:cNvPr>
        <xdr:cNvSpPr/>
      </xdr:nvSpPr>
      <xdr:spPr>
        <a:xfrm>
          <a:off x="105049321" y="251012"/>
          <a:ext cx="1288227" cy="53686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200" b="0"/>
            <a:t>Back to Start</a:t>
          </a:r>
          <a:endParaRPr lang="nl-NL" sz="1000" b="0"/>
        </a:p>
      </xdr:txBody>
    </xdr:sp>
    <xdr:clientData fPrintsWithSheet="0"/>
  </xdr:twoCellAnchor>
  <xdr:twoCellAnchor>
    <xdr:from>
      <xdr:col>142</xdr:col>
      <xdr:colOff>481853</xdr:colOff>
      <xdr:row>1</xdr:row>
      <xdr:rowOff>0</xdr:rowOff>
    </xdr:from>
    <xdr:to>
      <xdr:col>144</xdr:col>
      <xdr:colOff>0</xdr:colOff>
      <xdr:row>2</xdr:row>
      <xdr:rowOff>315883</xdr:rowOff>
    </xdr:to>
    <xdr:sp macro="[0]!Printpreview" textlink="">
      <xdr:nvSpPr>
        <xdr:cNvPr id="25" name="Afgeronde rechthoek 24">
          <a:extLst>
            <a:ext uri="{FF2B5EF4-FFF2-40B4-BE49-F238E27FC236}">
              <a16:creationId xmlns:a16="http://schemas.microsoft.com/office/drawing/2014/main" id="{00000000-0008-0000-0300-000019000000}"/>
            </a:ext>
          </a:extLst>
        </xdr:cNvPr>
        <xdr:cNvSpPr/>
      </xdr:nvSpPr>
      <xdr:spPr>
        <a:xfrm>
          <a:off x="107161853" y="228600"/>
          <a:ext cx="600187" cy="53686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nl-NL" sz="2800">
              <a:sym typeface="Webdings"/>
            </a:rPr>
            <a:t></a:t>
          </a:r>
          <a:endParaRPr lang="nl-NL" sz="1100"/>
        </a:p>
      </xdr:txBody>
    </xdr:sp>
    <xdr:clientData fPrintsWithSheet="0"/>
  </xdr:twoCellAnchor>
  <xdr:twoCellAnchor>
    <xdr:from>
      <xdr:col>127</xdr:col>
      <xdr:colOff>35859</xdr:colOff>
      <xdr:row>25</xdr:row>
      <xdr:rowOff>188258</xdr:rowOff>
    </xdr:from>
    <xdr:to>
      <xdr:col>144</xdr:col>
      <xdr:colOff>0</xdr:colOff>
      <xdr:row>51</xdr:row>
      <xdr:rowOff>183777</xdr:rowOff>
    </xdr:to>
    <xdr:graphicFrame macro="">
      <xdr:nvGraphicFramePr>
        <xdr:cNvPr id="26" name="Grafiek 25">
          <a:extLst>
            <a:ext uri="{FF2B5EF4-FFF2-40B4-BE49-F238E27FC236}">
              <a16:creationId xmlns:a16="http://schemas.microsoft.com/office/drawing/2014/main" id="{00000000-0008-0000-03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140</xdr:col>
      <xdr:colOff>1</xdr:colOff>
      <xdr:row>22</xdr:row>
      <xdr:rowOff>143436</xdr:rowOff>
    </xdr:from>
    <xdr:ext cx="2716305" cy="609013"/>
    <xdr:sp macro="" textlink="">
      <xdr:nvSpPr>
        <xdr:cNvPr id="27" name="Tekstvak 26">
          <a:extLst>
            <a:ext uri="{FF2B5EF4-FFF2-40B4-BE49-F238E27FC236}">
              <a16:creationId xmlns:a16="http://schemas.microsoft.com/office/drawing/2014/main" id="{00000000-0008-0000-0300-00001B000000}"/>
            </a:ext>
          </a:extLst>
        </xdr:cNvPr>
        <xdr:cNvSpPr txBox="1"/>
      </xdr:nvSpPr>
      <xdr:spPr>
        <a:xfrm>
          <a:off x="105049321" y="5446956"/>
          <a:ext cx="2716305" cy="609013"/>
        </a:xfrm>
        <a:prstGeom prst="rect">
          <a:avLst/>
        </a:prstGeom>
        <a:solidFill>
          <a:schemeClr val="tx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nl-NL" sz="1100">
              <a:solidFill>
                <a:schemeClr val="bg1"/>
              </a:solidFill>
            </a:rPr>
            <a:t>Blue highlighted Roles are most applicable. By clicking on the icon, information about this role will be shown.</a:t>
          </a:r>
        </a:p>
      </xdr:txBody>
    </xdr:sp>
    <xdr:clientData fPrintsWithSheet="0"/>
  </xdr:oneCellAnchor>
  <xdr:twoCellAnchor editAs="oneCell">
    <xdr:from>
      <xdr:col>132</xdr:col>
      <xdr:colOff>1</xdr:colOff>
      <xdr:row>20</xdr:row>
      <xdr:rowOff>0</xdr:rowOff>
    </xdr:from>
    <xdr:to>
      <xdr:col>133</xdr:col>
      <xdr:colOff>1</xdr:colOff>
      <xdr:row>20</xdr:row>
      <xdr:rowOff>403411</xdr:rowOff>
    </xdr:to>
    <xdr:pic>
      <xdr:nvPicPr>
        <xdr:cNvPr id="28" name="Afbeelding 27" descr="PL">
          <a:extLst>
            <a:ext uri="{FF2B5EF4-FFF2-40B4-BE49-F238E27FC236}">
              <a16:creationId xmlns:a16="http://schemas.microsoft.com/office/drawing/2014/main" id="{00000000-0008-0000-0300-00001C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10183368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133</xdr:col>
      <xdr:colOff>1</xdr:colOff>
      <xdr:row>20</xdr:row>
      <xdr:rowOff>0</xdr:rowOff>
    </xdr:from>
    <xdr:to>
      <xdr:col>134</xdr:col>
      <xdr:colOff>1</xdr:colOff>
      <xdr:row>20</xdr:row>
      <xdr:rowOff>403411</xdr:rowOff>
    </xdr:to>
    <xdr:pic>
      <xdr:nvPicPr>
        <xdr:cNvPr id="29" name="Afbeelding 28" descr="RI">
          <a:extLst>
            <a:ext uri="{FF2B5EF4-FFF2-40B4-BE49-F238E27FC236}">
              <a16:creationId xmlns:a16="http://schemas.microsoft.com/office/drawing/2014/main" id="{00000000-0008-0000-0300-00001D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102161341"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130</xdr:col>
      <xdr:colOff>0</xdr:colOff>
      <xdr:row>20</xdr:row>
      <xdr:rowOff>0</xdr:rowOff>
    </xdr:from>
    <xdr:to>
      <xdr:col>131</xdr:col>
      <xdr:colOff>0</xdr:colOff>
      <xdr:row>20</xdr:row>
      <xdr:rowOff>403411</xdr:rowOff>
    </xdr:to>
    <xdr:pic>
      <xdr:nvPicPr>
        <xdr:cNvPr id="30" name="Afbeelding 29" descr="CO">
          <a:extLst>
            <a:ext uri="{FF2B5EF4-FFF2-40B4-BE49-F238E27FC236}">
              <a16:creationId xmlns:a16="http://schemas.microsoft.com/office/drawing/2014/main" id="{00000000-0008-0000-0300-00001E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101178360"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131</xdr:col>
      <xdr:colOff>1</xdr:colOff>
      <xdr:row>20</xdr:row>
      <xdr:rowOff>0</xdr:rowOff>
    </xdr:from>
    <xdr:to>
      <xdr:col>132</xdr:col>
      <xdr:colOff>1</xdr:colOff>
      <xdr:row>20</xdr:row>
      <xdr:rowOff>403411</xdr:rowOff>
    </xdr:to>
    <xdr:pic>
      <xdr:nvPicPr>
        <xdr:cNvPr id="31" name="Afbeelding 30" descr="SH">
          <a:extLst>
            <a:ext uri="{FF2B5EF4-FFF2-40B4-BE49-F238E27FC236}">
              <a16:creationId xmlns:a16="http://schemas.microsoft.com/office/drawing/2014/main" id="{00000000-0008-0000-0300-00001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101506021"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134</xdr:col>
      <xdr:colOff>1</xdr:colOff>
      <xdr:row>20</xdr:row>
      <xdr:rowOff>0</xdr:rowOff>
    </xdr:from>
    <xdr:to>
      <xdr:col>135</xdr:col>
      <xdr:colOff>1</xdr:colOff>
      <xdr:row>20</xdr:row>
      <xdr:rowOff>403411</xdr:rowOff>
    </xdr:to>
    <xdr:pic>
      <xdr:nvPicPr>
        <xdr:cNvPr id="32" name="Afbeelding 31" descr="ME">
          <a:extLst>
            <a:ext uri="{FF2B5EF4-FFF2-40B4-BE49-F238E27FC236}">
              <a16:creationId xmlns:a16="http://schemas.microsoft.com/office/drawing/2014/main" id="{00000000-0008-0000-0300-000020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10248900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135</xdr:col>
      <xdr:colOff>0</xdr:colOff>
      <xdr:row>20</xdr:row>
      <xdr:rowOff>0</xdr:rowOff>
    </xdr:from>
    <xdr:to>
      <xdr:col>136</xdr:col>
      <xdr:colOff>0</xdr:colOff>
      <xdr:row>20</xdr:row>
      <xdr:rowOff>403411</xdr:rowOff>
    </xdr:to>
    <xdr:pic>
      <xdr:nvPicPr>
        <xdr:cNvPr id="33" name="Afbeelding 32" descr="TW">
          <a:extLst>
            <a:ext uri="{FF2B5EF4-FFF2-40B4-BE49-F238E27FC236}">
              <a16:creationId xmlns:a16="http://schemas.microsoft.com/office/drawing/2014/main" id="{00000000-0008-0000-0300-000021000000}"/>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102816660"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129</xdr:col>
      <xdr:colOff>1</xdr:colOff>
      <xdr:row>20</xdr:row>
      <xdr:rowOff>0</xdr:rowOff>
    </xdr:from>
    <xdr:to>
      <xdr:col>130</xdr:col>
      <xdr:colOff>1</xdr:colOff>
      <xdr:row>20</xdr:row>
      <xdr:rowOff>403411</xdr:rowOff>
    </xdr:to>
    <xdr:pic>
      <xdr:nvPicPr>
        <xdr:cNvPr id="34" name="Afbeelding 33" descr="IMP">
          <a:extLst>
            <a:ext uri="{FF2B5EF4-FFF2-40B4-BE49-F238E27FC236}">
              <a16:creationId xmlns:a16="http://schemas.microsoft.com/office/drawing/2014/main" id="{00000000-0008-0000-0300-000022000000}"/>
            </a:ext>
          </a:extLst>
        </xdr:cNvPr>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10085070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136</xdr:col>
      <xdr:colOff>1</xdr:colOff>
      <xdr:row>20</xdr:row>
      <xdr:rowOff>0</xdr:rowOff>
    </xdr:from>
    <xdr:to>
      <xdr:col>137</xdr:col>
      <xdr:colOff>1</xdr:colOff>
      <xdr:row>20</xdr:row>
      <xdr:rowOff>403411</xdr:rowOff>
    </xdr:to>
    <xdr:pic>
      <xdr:nvPicPr>
        <xdr:cNvPr id="35" name="Afbeelding 34" descr="CF">
          <a:extLst>
            <a:ext uri="{FF2B5EF4-FFF2-40B4-BE49-F238E27FC236}">
              <a16:creationId xmlns:a16="http://schemas.microsoft.com/office/drawing/2014/main" id="{00000000-0008-0000-0300-000023000000}"/>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103144321"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137</xdr:col>
      <xdr:colOff>1</xdr:colOff>
      <xdr:row>20</xdr:row>
      <xdr:rowOff>0</xdr:rowOff>
    </xdr:from>
    <xdr:to>
      <xdr:col>138</xdr:col>
      <xdr:colOff>1</xdr:colOff>
      <xdr:row>20</xdr:row>
      <xdr:rowOff>403411</xdr:rowOff>
    </xdr:to>
    <xdr:pic>
      <xdr:nvPicPr>
        <xdr:cNvPr id="36" name="Afbeelding 35" descr="SP">
          <a:extLst>
            <a:ext uri="{FF2B5EF4-FFF2-40B4-BE49-F238E27FC236}">
              <a16:creationId xmlns:a16="http://schemas.microsoft.com/office/drawing/2014/main" id="{00000000-0008-0000-0300-000024000000}"/>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10347198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5</xdr:col>
      <xdr:colOff>537879</xdr:colOff>
      <xdr:row>20</xdr:row>
      <xdr:rowOff>0</xdr:rowOff>
    </xdr:from>
    <xdr:to>
      <xdr:col>7</xdr:col>
      <xdr:colOff>573737</xdr:colOff>
      <xdr:row>22</xdr:row>
      <xdr:rowOff>2118</xdr:rowOff>
    </xdr:to>
    <xdr:sp macro="[0]!ToStart" textlink="">
      <xdr:nvSpPr>
        <xdr:cNvPr id="37" name="Afgeronde rechthoek 36">
          <a:extLst>
            <a:ext uri="{FF2B5EF4-FFF2-40B4-BE49-F238E27FC236}">
              <a16:creationId xmlns:a16="http://schemas.microsoft.com/office/drawing/2014/main" id="{00000000-0008-0000-0300-000025000000}"/>
            </a:ext>
          </a:extLst>
        </xdr:cNvPr>
        <xdr:cNvSpPr/>
      </xdr:nvSpPr>
      <xdr:spPr>
        <a:xfrm>
          <a:off x="6615950" y="4849906"/>
          <a:ext cx="1290916" cy="46828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200" b="0"/>
            <a:t>Back to Start</a:t>
          </a:r>
          <a:endParaRPr lang="nl-NL" sz="1000" b="0"/>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25</xdr:col>
      <xdr:colOff>609600</xdr:colOff>
      <xdr:row>19</xdr:row>
      <xdr:rowOff>45720</xdr:rowOff>
    </xdr:from>
    <xdr:to>
      <xdr:col>27</xdr:col>
      <xdr:colOff>617220</xdr:colOff>
      <xdr:row>21</xdr:row>
      <xdr:rowOff>45720</xdr:rowOff>
    </xdr:to>
    <xdr:sp macro="[0]!NextSection" textlink="">
      <xdr:nvSpPr>
        <xdr:cNvPr id="2" name="Vijfhoek 1">
          <a:extLst>
            <a:ext uri="{FF2B5EF4-FFF2-40B4-BE49-F238E27FC236}">
              <a16:creationId xmlns:a16="http://schemas.microsoft.com/office/drawing/2014/main" id="{00000000-0008-0000-0400-000002000000}"/>
            </a:ext>
          </a:extLst>
        </xdr:cNvPr>
        <xdr:cNvSpPr/>
      </xdr:nvSpPr>
      <xdr:spPr>
        <a:xfrm>
          <a:off x="22128480" y="482346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44</xdr:col>
      <xdr:colOff>0</xdr:colOff>
      <xdr:row>20</xdr:row>
      <xdr:rowOff>0</xdr:rowOff>
    </xdr:from>
    <xdr:to>
      <xdr:col>46</xdr:col>
      <xdr:colOff>0</xdr:colOff>
      <xdr:row>22</xdr:row>
      <xdr:rowOff>0</xdr:rowOff>
    </xdr:to>
    <xdr:sp macro="[0]!NextSection" textlink="">
      <xdr:nvSpPr>
        <xdr:cNvPr id="3" name="Vijfhoek 2">
          <a:extLst>
            <a:ext uri="{FF2B5EF4-FFF2-40B4-BE49-F238E27FC236}">
              <a16:creationId xmlns:a16="http://schemas.microsoft.com/office/drawing/2014/main" id="{00000000-0008-0000-0400-000003000000}"/>
            </a:ext>
          </a:extLst>
        </xdr:cNvPr>
        <xdr:cNvSpPr/>
      </xdr:nvSpPr>
      <xdr:spPr>
        <a:xfrm>
          <a:off x="3633978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42</xdr:col>
      <xdr:colOff>0</xdr:colOff>
      <xdr:row>20</xdr:row>
      <xdr:rowOff>0</xdr:rowOff>
    </xdr:from>
    <xdr:to>
      <xdr:col>44</xdr:col>
      <xdr:colOff>0</xdr:colOff>
      <xdr:row>22</xdr:row>
      <xdr:rowOff>0</xdr:rowOff>
    </xdr:to>
    <xdr:sp macro="[0]!SectionBack" textlink="">
      <xdr:nvSpPr>
        <xdr:cNvPr id="4" name="Vijfhoek 3">
          <a:extLst>
            <a:ext uri="{FF2B5EF4-FFF2-40B4-BE49-F238E27FC236}">
              <a16:creationId xmlns:a16="http://schemas.microsoft.com/office/drawing/2014/main" id="{00000000-0008-0000-0400-000004000000}"/>
            </a:ext>
          </a:extLst>
        </xdr:cNvPr>
        <xdr:cNvSpPr/>
      </xdr:nvSpPr>
      <xdr:spPr>
        <a:xfrm flipH="1">
          <a:off x="3509010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24</xdr:col>
      <xdr:colOff>0</xdr:colOff>
      <xdr:row>19</xdr:row>
      <xdr:rowOff>45720</xdr:rowOff>
    </xdr:from>
    <xdr:to>
      <xdr:col>26</xdr:col>
      <xdr:colOff>0</xdr:colOff>
      <xdr:row>21</xdr:row>
      <xdr:rowOff>45720</xdr:rowOff>
    </xdr:to>
    <xdr:sp macro="[0]!SectionBack" textlink="">
      <xdr:nvSpPr>
        <xdr:cNvPr id="5" name="Vijfhoek 4">
          <a:extLst>
            <a:ext uri="{FF2B5EF4-FFF2-40B4-BE49-F238E27FC236}">
              <a16:creationId xmlns:a16="http://schemas.microsoft.com/office/drawing/2014/main" id="{00000000-0008-0000-0400-000005000000}"/>
            </a:ext>
          </a:extLst>
        </xdr:cNvPr>
        <xdr:cNvSpPr/>
      </xdr:nvSpPr>
      <xdr:spPr>
        <a:xfrm flipH="1">
          <a:off x="20894040" y="482346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60</xdr:col>
      <xdr:colOff>0</xdr:colOff>
      <xdr:row>20</xdr:row>
      <xdr:rowOff>0</xdr:rowOff>
    </xdr:from>
    <xdr:to>
      <xdr:col>62</xdr:col>
      <xdr:colOff>0</xdr:colOff>
      <xdr:row>22</xdr:row>
      <xdr:rowOff>0</xdr:rowOff>
    </xdr:to>
    <xdr:sp macro="[0]!SectionBack" textlink="">
      <xdr:nvSpPr>
        <xdr:cNvPr id="6" name="Vijfhoek 5">
          <a:extLst>
            <a:ext uri="{FF2B5EF4-FFF2-40B4-BE49-F238E27FC236}">
              <a16:creationId xmlns:a16="http://schemas.microsoft.com/office/drawing/2014/main" id="{00000000-0008-0000-0400-000006000000}"/>
            </a:ext>
          </a:extLst>
        </xdr:cNvPr>
        <xdr:cNvSpPr/>
      </xdr:nvSpPr>
      <xdr:spPr>
        <a:xfrm flipH="1">
          <a:off x="4928616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79</xdr:col>
      <xdr:colOff>617220</xdr:colOff>
      <xdr:row>20</xdr:row>
      <xdr:rowOff>0</xdr:rowOff>
    </xdr:from>
    <xdr:to>
      <xdr:col>82</xdr:col>
      <xdr:colOff>0</xdr:colOff>
      <xdr:row>22</xdr:row>
      <xdr:rowOff>0</xdr:rowOff>
    </xdr:to>
    <xdr:sp macro="[0]!NextSection" textlink="">
      <xdr:nvSpPr>
        <xdr:cNvPr id="7" name="Vijfhoek 6">
          <a:extLst>
            <a:ext uri="{FF2B5EF4-FFF2-40B4-BE49-F238E27FC236}">
              <a16:creationId xmlns:a16="http://schemas.microsoft.com/office/drawing/2014/main" id="{00000000-0008-0000-0400-000007000000}"/>
            </a:ext>
          </a:extLst>
        </xdr:cNvPr>
        <xdr:cNvSpPr/>
      </xdr:nvSpPr>
      <xdr:spPr>
        <a:xfrm>
          <a:off x="6472428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98</xdr:col>
      <xdr:colOff>0</xdr:colOff>
      <xdr:row>20</xdr:row>
      <xdr:rowOff>0</xdr:rowOff>
    </xdr:from>
    <xdr:to>
      <xdr:col>100</xdr:col>
      <xdr:colOff>7620</xdr:colOff>
      <xdr:row>22</xdr:row>
      <xdr:rowOff>0</xdr:rowOff>
    </xdr:to>
    <xdr:sp macro="[0]!NextSection" textlink="">
      <xdr:nvSpPr>
        <xdr:cNvPr id="8" name="Vijfhoek 7">
          <a:extLst>
            <a:ext uri="{FF2B5EF4-FFF2-40B4-BE49-F238E27FC236}">
              <a16:creationId xmlns:a16="http://schemas.microsoft.com/office/drawing/2014/main" id="{00000000-0008-0000-0400-000008000000}"/>
            </a:ext>
          </a:extLst>
        </xdr:cNvPr>
        <xdr:cNvSpPr/>
      </xdr:nvSpPr>
      <xdr:spPr>
        <a:xfrm>
          <a:off x="7892796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116</xdr:col>
      <xdr:colOff>0</xdr:colOff>
      <xdr:row>20</xdr:row>
      <xdr:rowOff>0</xdr:rowOff>
    </xdr:from>
    <xdr:to>
      <xdr:col>118</xdr:col>
      <xdr:colOff>7620</xdr:colOff>
      <xdr:row>22</xdr:row>
      <xdr:rowOff>0</xdr:rowOff>
    </xdr:to>
    <xdr:sp macro="[0]!NextSection" textlink="">
      <xdr:nvSpPr>
        <xdr:cNvPr id="9" name="Vijfhoek 8">
          <a:extLst>
            <a:ext uri="{FF2B5EF4-FFF2-40B4-BE49-F238E27FC236}">
              <a16:creationId xmlns:a16="http://schemas.microsoft.com/office/drawing/2014/main" id="{00000000-0008-0000-0400-000009000000}"/>
            </a:ext>
          </a:extLst>
        </xdr:cNvPr>
        <xdr:cNvSpPr/>
      </xdr:nvSpPr>
      <xdr:spPr>
        <a:xfrm>
          <a:off x="9312402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62</xdr:col>
      <xdr:colOff>0</xdr:colOff>
      <xdr:row>20</xdr:row>
      <xdr:rowOff>0</xdr:rowOff>
    </xdr:from>
    <xdr:to>
      <xdr:col>64</xdr:col>
      <xdr:colOff>7620</xdr:colOff>
      <xdr:row>22</xdr:row>
      <xdr:rowOff>0</xdr:rowOff>
    </xdr:to>
    <xdr:sp macro="[0]!NextSection" textlink="">
      <xdr:nvSpPr>
        <xdr:cNvPr id="10" name="Vijfhoek 9">
          <a:extLst>
            <a:ext uri="{FF2B5EF4-FFF2-40B4-BE49-F238E27FC236}">
              <a16:creationId xmlns:a16="http://schemas.microsoft.com/office/drawing/2014/main" id="{00000000-0008-0000-0400-00000A000000}"/>
            </a:ext>
          </a:extLst>
        </xdr:cNvPr>
        <xdr:cNvSpPr/>
      </xdr:nvSpPr>
      <xdr:spPr>
        <a:xfrm>
          <a:off x="5053584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8</xdr:col>
      <xdr:colOff>0</xdr:colOff>
      <xdr:row>20</xdr:row>
      <xdr:rowOff>0</xdr:rowOff>
    </xdr:from>
    <xdr:to>
      <xdr:col>10</xdr:col>
      <xdr:colOff>0</xdr:colOff>
      <xdr:row>22</xdr:row>
      <xdr:rowOff>0</xdr:rowOff>
    </xdr:to>
    <xdr:sp macro="[0]!NextSection" textlink="">
      <xdr:nvSpPr>
        <xdr:cNvPr id="11" name="Vijfhoek 10">
          <a:extLst>
            <a:ext uri="{FF2B5EF4-FFF2-40B4-BE49-F238E27FC236}">
              <a16:creationId xmlns:a16="http://schemas.microsoft.com/office/drawing/2014/main" id="{00000000-0008-0000-0400-00000B000000}"/>
            </a:ext>
          </a:extLst>
        </xdr:cNvPr>
        <xdr:cNvSpPr/>
      </xdr:nvSpPr>
      <xdr:spPr>
        <a:xfrm>
          <a:off x="794766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78</xdr:col>
      <xdr:colOff>0</xdr:colOff>
      <xdr:row>20</xdr:row>
      <xdr:rowOff>0</xdr:rowOff>
    </xdr:from>
    <xdr:to>
      <xdr:col>80</xdr:col>
      <xdr:colOff>0</xdr:colOff>
      <xdr:row>22</xdr:row>
      <xdr:rowOff>0</xdr:rowOff>
    </xdr:to>
    <xdr:sp macro="[0]!SectionBack" textlink="">
      <xdr:nvSpPr>
        <xdr:cNvPr id="12" name="Vijfhoek 11">
          <a:extLst>
            <a:ext uri="{FF2B5EF4-FFF2-40B4-BE49-F238E27FC236}">
              <a16:creationId xmlns:a16="http://schemas.microsoft.com/office/drawing/2014/main" id="{00000000-0008-0000-0400-00000C000000}"/>
            </a:ext>
          </a:extLst>
        </xdr:cNvPr>
        <xdr:cNvSpPr/>
      </xdr:nvSpPr>
      <xdr:spPr>
        <a:xfrm flipH="1">
          <a:off x="6348222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96</xdr:col>
      <xdr:colOff>0</xdr:colOff>
      <xdr:row>20</xdr:row>
      <xdr:rowOff>0</xdr:rowOff>
    </xdr:from>
    <xdr:to>
      <xdr:col>98</xdr:col>
      <xdr:colOff>0</xdr:colOff>
      <xdr:row>22</xdr:row>
      <xdr:rowOff>0</xdr:rowOff>
    </xdr:to>
    <xdr:sp macro="[0]!SectionBack" textlink="">
      <xdr:nvSpPr>
        <xdr:cNvPr id="13" name="Vijfhoek 12">
          <a:extLst>
            <a:ext uri="{FF2B5EF4-FFF2-40B4-BE49-F238E27FC236}">
              <a16:creationId xmlns:a16="http://schemas.microsoft.com/office/drawing/2014/main" id="{00000000-0008-0000-0400-00000D000000}"/>
            </a:ext>
          </a:extLst>
        </xdr:cNvPr>
        <xdr:cNvSpPr/>
      </xdr:nvSpPr>
      <xdr:spPr>
        <a:xfrm flipH="1">
          <a:off x="7767828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114</xdr:col>
      <xdr:colOff>0</xdr:colOff>
      <xdr:row>20</xdr:row>
      <xdr:rowOff>0</xdr:rowOff>
    </xdr:from>
    <xdr:to>
      <xdr:col>116</xdr:col>
      <xdr:colOff>0</xdr:colOff>
      <xdr:row>22</xdr:row>
      <xdr:rowOff>0</xdr:rowOff>
    </xdr:to>
    <xdr:sp macro="[0]!SectionBack" textlink="">
      <xdr:nvSpPr>
        <xdr:cNvPr id="14" name="Vijfhoek 13">
          <a:extLst>
            <a:ext uri="{FF2B5EF4-FFF2-40B4-BE49-F238E27FC236}">
              <a16:creationId xmlns:a16="http://schemas.microsoft.com/office/drawing/2014/main" id="{00000000-0008-0000-0400-00000E000000}"/>
            </a:ext>
          </a:extLst>
        </xdr:cNvPr>
        <xdr:cNvSpPr/>
      </xdr:nvSpPr>
      <xdr:spPr>
        <a:xfrm flipH="1">
          <a:off x="9187434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editAs="oneCell">
    <xdr:from>
      <xdr:col>143</xdr:col>
      <xdr:colOff>11207</xdr:colOff>
      <xdr:row>4</xdr:row>
      <xdr:rowOff>8965</xdr:rowOff>
    </xdr:from>
    <xdr:to>
      <xdr:col>143</xdr:col>
      <xdr:colOff>425824</xdr:colOff>
      <xdr:row>5</xdr:row>
      <xdr:rowOff>20170</xdr:rowOff>
    </xdr:to>
    <xdr:pic macro="[0]!implementor">
      <xdr:nvPicPr>
        <xdr:cNvPr id="15" name="Afbeelding 14" descr="CF">
          <a:extLst>
            <a:ext uri="{FF2B5EF4-FFF2-40B4-BE49-F238E27FC236}">
              <a16:creationId xmlns:a16="http://schemas.microsoft.com/office/drawing/2014/main" id="{00000000-0008-0000-0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7316047" y="1129105"/>
          <a:ext cx="414617" cy="4150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0</xdr:colOff>
      <xdr:row>6</xdr:row>
      <xdr:rowOff>0</xdr:rowOff>
    </xdr:from>
    <xdr:to>
      <xdr:col>143</xdr:col>
      <xdr:colOff>425824</xdr:colOff>
      <xdr:row>7</xdr:row>
      <xdr:rowOff>22411</xdr:rowOff>
    </xdr:to>
    <xdr:pic macro="[0]!Coordinator">
      <xdr:nvPicPr>
        <xdr:cNvPr id="16" name="Afbeelding 15" descr="CO">
          <a:extLst>
            <a:ext uri="{FF2B5EF4-FFF2-40B4-BE49-F238E27FC236}">
              <a16:creationId xmlns:a16="http://schemas.microsoft.com/office/drawing/2014/main" id="{00000000-0008-0000-0400-00001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7304840" y="1584960"/>
          <a:ext cx="425824" cy="426272"/>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8</xdr:row>
      <xdr:rowOff>0</xdr:rowOff>
    </xdr:from>
    <xdr:to>
      <xdr:col>143</xdr:col>
      <xdr:colOff>425825</xdr:colOff>
      <xdr:row>9</xdr:row>
      <xdr:rowOff>11208</xdr:rowOff>
    </xdr:to>
    <xdr:pic macro="[0]!Shaper">
      <xdr:nvPicPr>
        <xdr:cNvPr id="17" name="Afbeelding 16" descr="SH">
          <a:extLst>
            <a:ext uri="{FF2B5EF4-FFF2-40B4-BE49-F238E27FC236}">
              <a16:creationId xmlns:a16="http://schemas.microsoft.com/office/drawing/2014/main" id="{00000000-0008-0000-04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07316047" y="2049780"/>
          <a:ext cx="414618" cy="4150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10</xdr:row>
      <xdr:rowOff>0</xdr:rowOff>
    </xdr:from>
    <xdr:to>
      <xdr:col>143</xdr:col>
      <xdr:colOff>425825</xdr:colOff>
      <xdr:row>11</xdr:row>
      <xdr:rowOff>11206</xdr:rowOff>
    </xdr:to>
    <xdr:pic macro="[0]!Plant">
      <xdr:nvPicPr>
        <xdr:cNvPr id="18" name="Afbeelding 17" descr="PL">
          <a:extLst>
            <a:ext uri="{FF2B5EF4-FFF2-40B4-BE49-F238E27FC236}">
              <a16:creationId xmlns:a16="http://schemas.microsoft.com/office/drawing/2014/main" id="{00000000-0008-0000-0400-000012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07316047" y="2514600"/>
          <a:ext cx="414618" cy="415066"/>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12</xdr:row>
      <xdr:rowOff>0</xdr:rowOff>
    </xdr:from>
    <xdr:to>
      <xdr:col>143</xdr:col>
      <xdr:colOff>425825</xdr:colOff>
      <xdr:row>13</xdr:row>
      <xdr:rowOff>11206</xdr:rowOff>
    </xdr:to>
    <xdr:pic macro="[0]!Resource">
      <xdr:nvPicPr>
        <xdr:cNvPr id="19" name="Afbeelding 18" descr="RI">
          <a:extLst>
            <a:ext uri="{FF2B5EF4-FFF2-40B4-BE49-F238E27FC236}">
              <a16:creationId xmlns:a16="http://schemas.microsoft.com/office/drawing/2014/main" id="{00000000-0008-0000-0400-000013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07316047" y="2979420"/>
          <a:ext cx="414618" cy="4150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14</xdr:row>
      <xdr:rowOff>0</xdr:rowOff>
    </xdr:from>
    <xdr:to>
      <xdr:col>143</xdr:col>
      <xdr:colOff>425825</xdr:colOff>
      <xdr:row>15</xdr:row>
      <xdr:rowOff>11206</xdr:rowOff>
    </xdr:to>
    <xdr:pic macro="[0]!Monitor">
      <xdr:nvPicPr>
        <xdr:cNvPr id="20" name="Afbeelding 19" descr="ME">
          <a:extLst>
            <a:ext uri="{FF2B5EF4-FFF2-40B4-BE49-F238E27FC236}">
              <a16:creationId xmlns:a16="http://schemas.microsoft.com/office/drawing/2014/main" id="{00000000-0008-0000-0400-000014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07316047" y="3444240"/>
          <a:ext cx="414618" cy="415066"/>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16</xdr:row>
      <xdr:rowOff>0</xdr:rowOff>
    </xdr:from>
    <xdr:to>
      <xdr:col>143</xdr:col>
      <xdr:colOff>425825</xdr:colOff>
      <xdr:row>17</xdr:row>
      <xdr:rowOff>11206</xdr:rowOff>
    </xdr:to>
    <xdr:pic macro="[0]!TeamWorker">
      <xdr:nvPicPr>
        <xdr:cNvPr id="21" name="Afbeelding 20" descr="TW">
          <a:extLst>
            <a:ext uri="{FF2B5EF4-FFF2-40B4-BE49-F238E27FC236}">
              <a16:creationId xmlns:a16="http://schemas.microsoft.com/office/drawing/2014/main" id="{00000000-0008-0000-0400-000015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07316047" y="3909060"/>
          <a:ext cx="414618" cy="4150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18</xdr:row>
      <xdr:rowOff>0</xdr:rowOff>
    </xdr:from>
    <xdr:to>
      <xdr:col>143</xdr:col>
      <xdr:colOff>425825</xdr:colOff>
      <xdr:row>19</xdr:row>
      <xdr:rowOff>11206</xdr:rowOff>
    </xdr:to>
    <xdr:pic macro="[0]!Completer">
      <xdr:nvPicPr>
        <xdr:cNvPr id="22" name="Afbeelding 21" descr="CF">
          <a:extLst>
            <a:ext uri="{FF2B5EF4-FFF2-40B4-BE49-F238E27FC236}">
              <a16:creationId xmlns:a16="http://schemas.microsoft.com/office/drawing/2014/main" id="{00000000-0008-0000-04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7316047" y="4373880"/>
          <a:ext cx="414618" cy="4150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11208</xdr:colOff>
      <xdr:row>20</xdr:row>
      <xdr:rowOff>1</xdr:rowOff>
    </xdr:from>
    <xdr:to>
      <xdr:col>143</xdr:col>
      <xdr:colOff>425826</xdr:colOff>
      <xdr:row>21</xdr:row>
      <xdr:rowOff>11207</xdr:rowOff>
    </xdr:to>
    <xdr:pic macro="[0]!Specialist">
      <xdr:nvPicPr>
        <xdr:cNvPr id="23" name="Afbeelding 22" descr="SP">
          <a:extLst>
            <a:ext uri="{FF2B5EF4-FFF2-40B4-BE49-F238E27FC236}">
              <a16:creationId xmlns:a16="http://schemas.microsoft.com/office/drawing/2014/main" id="{00000000-0008-0000-0400-000017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07316048" y="4838701"/>
          <a:ext cx="414618" cy="4150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140</xdr:col>
      <xdr:colOff>1</xdr:colOff>
      <xdr:row>1</xdr:row>
      <xdr:rowOff>22412</xdr:rowOff>
    </xdr:from>
    <xdr:to>
      <xdr:col>141</xdr:col>
      <xdr:colOff>663388</xdr:colOff>
      <xdr:row>2</xdr:row>
      <xdr:rowOff>338295</xdr:rowOff>
    </xdr:to>
    <xdr:sp macro="[0]!ToStart" textlink="">
      <xdr:nvSpPr>
        <xdr:cNvPr id="24" name="Afgeronde rechthoek 23">
          <a:extLst>
            <a:ext uri="{FF2B5EF4-FFF2-40B4-BE49-F238E27FC236}">
              <a16:creationId xmlns:a16="http://schemas.microsoft.com/office/drawing/2014/main" id="{00000000-0008-0000-0400-000018000000}"/>
            </a:ext>
          </a:extLst>
        </xdr:cNvPr>
        <xdr:cNvSpPr/>
      </xdr:nvSpPr>
      <xdr:spPr>
        <a:xfrm>
          <a:off x="105049321" y="251012"/>
          <a:ext cx="1288227" cy="53686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200" b="0"/>
            <a:t>Back to Start</a:t>
          </a:r>
          <a:endParaRPr lang="nl-NL" sz="1000" b="0"/>
        </a:p>
      </xdr:txBody>
    </xdr:sp>
    <xdr:clientData fPrintsWithSheet="0"/>
  </xdr:twoCellAnchor>
  <xdr:twoCellAnchor>
    <xdr:from>
      <xdr:col>142</xdr:col>
      <xdr:colOff>481853</xdr:colOff>
      <xdr:row>1</xdr:row>
      <xdr:rowOff>0</xdr:rowOff>
    </xdr:from>
    <xdr:to>
      <xdr:col>144</xdr:col>
      <xdr:colOff>0</xdr:colOff>
      <xdr:row>2</xdr:row>
      <xdr:rowOff>315883</xdr:rowOff>
    </xdr:to>
    <xdr:sp macro="[0]!Printpreview" textlink="">
      <xdr:nvSpPr>
        <xdr:cNvPr id="25" name="Afgeronde rechthoek 24">
          <a:extLst>
            <a:ext uri="{FF2B5EF4-FFF2-40B4-BE49-F238E27FC236}">
              <a16:creationId xmlns:a16="http://schemas.microsoft.com/office/drawing/2014/main" id="{00000000-0008-0000-0400-000019000000}"/>
            </a:ext>
          </a:extLst>
        </xdr:cNvPr>
        <xdr:cNvSpPr/>
      </xdr:nvSpPr>
      <xdr:spPr>
        <a:xfrm>
          <a:off x="107161853" y="228600"/>
          <a:ext cx="600187" cy="53686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nl-NL" sz="2800">
              <a:sym typeface="Webdings"/>
            </a:rPr>
            <a:t></a:t>
          </a:r>
          <a:endParaRPr lang="nl-NL" sz="1100"/>
        </a:p>
      </xdr:txBody>
    </xdr:sp>
    <xdr:clientData fPrintsWithSheet="0"/>
  </xdr:twoCellAnchor>
  <xdr:twoCellAnchor>
    <xdr:from>
      <xdr:col>127</xdr:col>
      <xdr:colOff>35859</xdr:colOff>
      <xdr:row>25</xdr:row>
      <xdr:rowOff>188258</xdr:rowOff>
    </xdr:from>
    <xdr:to>
      <xdr:col>144</xdr:col>
      <xdr:colOff>0</xdr:colOff>
      <xdr:row>51</xdr:row>
      <xdr:rowOff>183777</xdr:rowOff>
    </xdr:to>
    <xdr:graphicFrame macro="">
      <xdr:nvGraphicFramePr>
        <xdr:cNvPr id="26" name="Grafiek 25">
          <a:extLst>
            <a:ext uri="{FF2B5EF4-FFF2-40B4-BE49-F238E27FC236}">
              <a16:creationId xmlns:a16="http://schemas.microsoft.com/office/drawing/2014/main" id="{00000000-0008-0000-04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140</xdr:col>
      <xdr:colOff>1</xdr:colOff>
      <xdr:row>22</xdr:row>
      <xdr:rowOff>143436</xdr:rowOff>
    </xdr:from>
    <xdr:ext cx="2716305" cy="609013"/>
    <xdr:sp macro="" textlink="">
      <xdr:nvSpPr>
        <xdr:cNvPr id="27" name="Tekstvak 26">
          <a:extLst>
            <a:ext uri="{FF2B5EF4-FFF2-40B4-BE49-F238E27FC236}">
              <a16:creationId xmlns:a16="http://schemas.microsoft.com/office/drawing/2014/main" id="{00000000-0008-0000-0400-00001B000000}"/>
            </a:ext>
          </a:extLst>
        </xdr:cNvPr>
        <xdr:cNvSpPr txBox="1"/>
      </xdr:nvSpPr>
      <xdr:spPr>
        <a:xfrm>
          <a:off x="105049321" y="5446956"/>
          <a:ext cx="2716305" cy="609013"/>
        </a:xfrm>
        <a:prstGeom prst="rect">
          <a:avLst/>
        </a:prstGeom>
        <a:solidFill>
          <a:schemeClr val="tx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nl-NL" sz="1100">
              <a:solidFill>
                <a:schemeClr val="bg1"/>
              </a:solidFill>
            </a:rPr>
            <a:t>Blue highlighted Roles are most applicable. By clicking on the icon, information about this role will be shown.</a:t>
          </a:r>
        </a:p>
      </xdr:txBody>
    </xdr:sp>
    <xdr:clientData fPrintsWithSheet="0"/>
  </xdr:oneCellAnchor>
  <xdr:twoCellAnchor editAs="oneCell">
    <xdr:from>
      <xdr:col>132</xdr:col>
      <xdr:colOff>1</xdr:colOff>
      <xdr:row>20</xdr:row>
      <xdr:rowOff>0</xdr:rowOff>
    </xdr:from>
    <xdr:to>
      <xdr:col>133</xdr:col>
      <xdr:colOff>1</xdr:colOff>
      <xdr:row>20</xdr:row>
      <xdr:rowOff>403411</xdr:rowOff>
    </xdr:to>
    <xdr:pic>
      <xdr:nvPicPr>
        <xdr:cNvPr id="28" name="Afbeelding 27" descr="PL">
          <a:extLst>
            <a:ext uri="{FF2B5EF4-FFF2-40B4-BE49-F238E27FC236}">
              <a16:creationId xmlns:a16="http://schemas.microsoft.com/office/drawing/2014/main" id="{00000000-0008-0000-0400-00001C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10183368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133</xdr:col>
      <xdr:colOff>1</xdr:colOff>
      <xdr:row>20</xdr:row>
      <xdr:rowOff>0</xdr:rowOff>
    </xdr:from>
    <xdr:to>
      <xdr:col>134</xdr:col>
      <xdr:colOff>1</xdr:colOff>
      <xdr:row>20</xdr:row>
      <xdr:rowOff>403411</xdr:rowOff>
    </xdr:to>
    <xdr:pic>
      <xdr:nvPicPr>
        <xdr:cNvPr id="29" name="Afbeelding 28" descr="RI">
          <a:extLst>
            <a:ext uri="{FF2B5EF4-FFF2-40B4-BE49-F238E27FC236}">
              <a16:creationId xmlns:a16="http://schemas.microsoft.com/office/drawing/2014/main" id="{00000000-0008-0000-0400-00001D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102161341"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130</xdr:col>
      <xdr:colOff>0</xdr:colOff>
      <xdr:row>20</xdr:row>
      <xdr:rowOff>0</xdr:rowOff>
    </xdr:from>
    <xdr:to>
      <xdr:col>131</xdr:col>
      <xdr:colOff>0</xdr:colOff>
      <xdr:row>20</xdr:row>
      <xdr:rowOff>403411</xdr:rowOff>
    </xdr:to>
    <xdr:pic>
      <xdr:nvPicPr>
        <xdr:cNvPr id="30" name="Afbeelding 29" descr="CO">
          <a:extLst>
            <a:ext uri="{FF2B5EF4-FFF2-40B4-BE49-F238E27FC236}">
              <a16:creationId xmlns:a16="http://schemas.microsoft.com/office/drawing/2014/main" id="{00000000-0008-0000-0400-00001E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101178360"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131</xdr:col>
      <xdr:colOff>1</xdr:colOff>
      <xdr:row>20</xdr:row>
      <xdr:rowOff>0</xdr:rowOff>
    </xdr:from>
    <xdr:to>
      <xdr:col>132</xdr:col>
      <xdr:colOff>1</xdr:colOff>
      <xdr:row>20</xdr:row>
      <xdr:rowOff>403411</xdr:rowOff>
    </xdr:to>
    <xdr:pic>
      <xdr:nvPicPr>
        <xdr:cNvPr id="31" name="Afbeelding 30" descr="SH">
          <a:extLst>
            <a:ext uri="{FF2B5EF4-FFF2-40B4-BE49-F238E27FC236}">
              <a16:creationId xmlns:a16="http://schemas.microsoft.com/office/drawing/2014/main" id="{00000000-0008-0000-0400-00001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101506021"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134</xdr:col>
      <xdr:colOff>1</xdr:colOff>
      <xdr:row>20</xdr:row>
      <xdr:rowOff>0</xdr:rowOff>
    </xdr:from>
    <xdr:to>
      <xdr:col>135</xdr:col>
      <xdr:colOff>1</xdr:colOff>
      <xdr:row>20</xdr:row>
      <xdr:rowOff>403411</xdr:rowOff>
    </xdr:to>
    <xdr:pic>
      <xdr:nvPicPr>
        <xdr:cNvPr id="32" name="Afbeelding 31" descr="ME">
          <a:extLst>
            <a:ext uri="{FF2B5EF4-FFF2-40B4-BE49-F238E27FC236}">
              <a16:creationId xmlns:a16="http://schemas.microsoft.com/office/drawing/2014/main" id="{00000000-0008-0000-0400-000020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10248900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135</xdr:col>
      <xdr:colOff>0</xdr:colOff>
      <xdr:row>20</xdr:row>
      <xdr:rowOff>0</xdr:rowOff>
    </xdr:from>
    <xdr:to>
      <xdr:col>136</xdr:col>
      <xdr:colOff>0</xdr:colOff>
      <xdr:row>20</xdr:row>
      <xdr:rowOff>403411</xdr:rowOff>
    </xdr:to>
    <xdr:pic>
      <xdr:nvPicPr>
        <xdr:cNvPr id="33" name="Afbeelding 32" descr="TW">
          <a:extLst>
            <a:ext uri="{FF2B5EF4-FFF2-40B4-BE49-F238E27FC236}">
              <a16:creationId xmlns:a16="http://schemas.microsoft.com/office/drawing/2014/main" id="{00000000-0008-0000-0400-000021000000}"/>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102816660"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129</xdr:col>
      <xdr:colOff>1</xdr:colOff>
      <xdr:row>20</xdr:row>
      <xdr:rowOff>0</xdr:rowOff>
    </xdr:from>
    <xdr:to>
      <xdr:col>130</xdr:col>
      <xdr:colOff>1</xdr:colOff>
      <xdr:row>20</xdr:row>
      <xdr:rowOff>403411</xdr:rowOff>
    </xdr:to>
    <xdr:pic>
      <xdr:nvPicPr>
        <xdr:cNvPr id="34" name="Afbeelding 33" descr="IMP">
          <a:extLst>
            <a:ext uri="{FF2B5EF4-FFF2-40B4-BE49-F238E27FC236}">
              <a16:creationId xmlns:a16="http://schemas.microsoft.com/office/drawing/2014/main" id="{00000000-0008-0000-0400-000022000000}"/>
            </a:ext>
          </a:extLst>
        </xdr:cNvPr>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10085070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136</xdr:col>
      <xdr:colOff>1</xdr:colOff>
      <xdr:row>20</xdr:row>
      <xdr:rowOff>0</xdr:rowOff>
    </xdr:from>
    <xdr:to>
      <xdr:col>137</xdr:col>
      <xdr:colOff>1</xdr:colOff>
      <xdr:row>20</xdr:row>
      <xdr:rowOff>403411</xdr:rowOff>
    </xdr:to>
    <xdr:pic>
      <xdr:nvPicPr>
        <xdr:cNvPr id="35" name="Afbeelding 34" descr="CF">
          <a:extLst>
            <a:ext uri="{FF2B5EF4-FFF2-40B4-BE49-F238E27FC236}">
              <a16:creationId xmlns:a16="http://schemas.microsoft.com/office/drawing/2014/main" id="{00000000-0008-0000-0400-000023000000}"/>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103144321"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137</xdr:col>
      <xdr:colOff>1</xdr:colOff>
      <xdr:row>20</xdr:row>
      <xdr:rowOff>0</xdr:rowOff>
    </xdr:from>
    <xdr:to>
      <xdr:col>138</xdr:col>
      <xdr:colOff>1</xdr:colOff>
      <xdr:row>20</xdr:row>
      <xdr:rowOff>403411</xdr:rowOff>
    </xdr:to>
    <xdr:pic>
      <xdr:nvPicPr>
        <xdr:cNvPr id="36" name="Afbeelding 35" descr="SP">
          <a:extLst>
            <a:ext uri="{FF2B5EF4-FFF2-40B4-BE49-F238E27FC236}">
              <a16:creationId xmlns:a16="http://schemas.microsoft.com/office/drawing/2014/main" id="{00000000-0008-0000-0400-000024000000}"/>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10347198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5</xdr:col>
      <xdr:colOff>546844</xdr:colOff>
      <xdr:row>20</xdr:row>
      <xdr:rowOff>8965</xdr:rowOff>
    </xdr:from>
    <xdr:to>
      <xdr:col>7</xdr:col>
      <xdr:colOff>582702</xdr:colOff>
      <xdr:row>22</xdr:row>
      <xdr:rowOff>11083</xdr:rowOff>
    </xdr:to>
    <xdr:sp macro="[0]!ToStart" textlink="">
      <xdr:nvSpPr>
        <xdr:cNvPr id="37" name="Afgeronde rechthoek 36">
          <a:extLst>
            <a:ext uri="{FF2B5EF4-FFF2-40B4-BE49-F238E27FC236}">
              <a16:creationId xmlns:a16="http://schemas.microsoft.com/office/drawing/2014/main" id="{00000000-0008-0000-0400-000025000000}"/>
            </a:ext>
          </a:extLst>
        </xdr:cNvPr>
        <xdr:cNvSpPr/>
      </xdr:nvSpPr>
      <xdr:spPr>
        <a:xfrm>
          <a:off x="6624915" y="4858871"/>
          <a:ext cx="1290916" cy="46828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200" b="0"/>
            <a:t>Back to Start</a:t>
          </a:r>
          <a:endParaRPr lang="nl-NL" sz="1000" b="0"/>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25</xdr:col>
      <xdr:colOff>609600</xdr:colOff>
      <xdr:row>19</xdr:row>
      <xdr:rowOff>45720</xdr:rowOff>
    </xdr:from>
    <xdr:to>
      <xdr:col>27</xdr:col>
      <xdr:colOff>617220</xdr:colOff>
      <xdr:row>21</xdr:row>
      <xdr:rowOff>45720</xdr:rowOff>
    </xdr:to>
    <xdr:sp macro="[0]!NextSection" textlink="">
      <xdr:nvSpPr>
        <xdr:cNvPr id="2" name="Vijfhoek 1">
          <a:extLst>
            <a:ext uri="{FF2B5EF4-FFF2-40B4-BE49-F238E27FC236}">
              <a16:creationId xmlns:a16="http://schemas.microsoft.com/office/drawing/2014/main" id="{00000000-0008-0000-0500-000002000000}"/>
            </a:ext>
          </a:extLst>
        </xdr:cNvPr>
        <xdr:cNvSpPr/>
      </xdr:nvSpPr>
      <xdr:spPr>
        <a:xfrm>
          <a:off x="22128480" y="482346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44</xdr:col>
      <xdr:colOff>0</xdr:colOff>
      <xdr:row>20</xdr:row>
      <xdr:rowOff>0</xdr:rowOff>
    </xdr:from>
    <xdr:to>
      <xdr:col>46</xdr:col>
      <xdr:colOff>0</xdr:colOff>
      <xdr:row>22</xdr:row>
      <xdr:rowOff>0</xdr:rowOff>
    </xdr:to>
    <xdr:sp macro="[0]!NextSection" textlink="">
      <xdr:nvSpPr>
        <xdr:cNvPr id="3" name="Vijfhoek 2">
          <a:extLst>
            <a:ext uri="{FF2B5EF4-FFF2-40B4-BE49-F238E27FC236}">
              <a16:creationId xmlns:a16="http://schemas.microsoft.com/office/drawing/2014/main" id="{00000000-0008-0000-0500-000003000000}"/>
            </a:ext>
          </a:extLst>
        </xdr:cNvPr>
        <xdr:cNvSpPr/>
      </xdr:nvSpPr>
      <xdr:spPr>
        <a:xfrm>
          <a:off x="3633978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42</xdr:col>
      <xdr:colOff>0</xdr:colOff>
      <xdr:row>20</xdr:row>
      <xdr:rowOff>0</xdr:rowOff>
    </xdr:from>
    <xdr:to>
      <xdr:col>44</xdr:col>
      <xdr:colOff>0</xdr:colOff>
      <xdr:row>22</xdr:row>
      <xdr:rowOff>0</xdr:rowOff>
    </xdr:to>
    <xdr:sp macro="[0]!SectionBack" textlink="">
      <xdr:nvSpPr>
        <xdr:cNvPr id="4" name="Vijfhoek 3">
          <a:extLst>
            <a:ext uri="{FF2B5EF4-FFF2-40B4-BE49-F238E27FC236}">
              <a16:creationId xmlns:a16="http://schemas.microsoft.com/office/drawing/2014/main" id="{00000000-0008-0000-0500-000004000000}"/>
            </a:ext>
          </a:extLst>
        </xdr:cNvPr>
        <xdr:cNvSpPr/>
      </xdr:nvSpPr>
      <xdr:spPr>
        <a:xfrm flipH="1">
          <a:off x="3509010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24</xdr:col>
      <xdr:colOff>0</xdr:colOff>
      <xdr:row>19</xdr:row>
      <xdr:rowOff>45720</xdr:rowOff>
    </xdr:from>
    <xdr:to>
      <xdr:col>26</xdr:col>
      <xdr:colOff>0</xdr:colOff>
      <xdr:row>21</xdr:row>
      <xdr:rowOff>45720</xdr:rowOff>
    </xdr:to>
    <xdr:sp macro="[0]!SectionBack" textlink="">
      <xdr:nvSpPr>
        <xdr:cNvPr id="5" name="Vijfhoek 4">
          <a:extLst>
            <a:ext uri="{FF2B5EF4-FFF2-40B4-BE49-F238E27FC236}">
              <a16:creationId xmlns:a16="http://schemas.microsoft.com/office/drawing/2014/main" id="{00000000-0008-0000-0500-000005000000}"/>
            </a:ext>
          </a:extLst>
        </xdr:cNvPr>
        <xdr:cNvSpPr/>
      </xdr:nvSpPr>
      <xdr:spPr>
        <a:xfrm flipH="1">
          <a:off x="20894040" y="482346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60</xdr:col>
      <xdr:colOff>0</xdr:colOff>
      <xdr:row>20</xdr:row>
      <xdr:rowOff>0</xdr:rowOff>
    </xdr:from>
    <xdr:to>
      <xdr:col>62</xdr:col>
      <xdr:colOff>0</xdr:colOff>
      <xdr:row>22</xdr:row>
      <xdr:rowOff>0</xdr:rowOff>
    </xdr:to>
    <xdr:sp macro="[0]!SectionBack" textlink="">
      <xdr:nvSpPr>
        <xdr:cNvPr id="6" name="Vijfhoek 5">
          <a:extLst>
            <a:ext uri="{FF2B5EF4-FFF2-40B4-BE49-F238E27FC236}">
              <a16:creationId xmlns:a16="http://schemas.microsoft.com/office/drawing/2014/main" id="{00000000-0008-0000-0500-000006000000}"/>
            </a:ext>
          </a:extLst>
        </xdr:cNvPr>
        <xdr:cNvSpPr/>
      </xdr:nvSpPr>
      <xdr:spPr>
        <a:xfrm flipH="1">
          <a:off x="4928616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79</xdr:col>
      <xdr:colOff>617220</xdr:colOff>
      <xdr:row>20</xdr:row>
      <xdr:rowOff>0</xdr:rowOff>
    </xdr:from>
    <xdr:to>
      <xdr:col>82</xdr:col>
      <xdr:colOff>0</xdr:colOff>
      <xdr:row>22</xdr:row>
      <xdr:rowOff>0</xdr:rowOff>
    </xdr:to>
    <xdr:sp macro="[0]!NextSection" textlink="">
      <xdr:nvSpPr>
        <xdr:cNvPr id="7" name="Vijfhoek 6">
          <a:extLst>
            <a:ext uri="{FF2B5EF4-FFF2-40B4-BE49-F238E27FC236}">
              <a16:creationId xmlns:a16="http://schemas.microsoft.com/office/drawing/2014/main" id="{00000000-0008-0000-0500-000007000000}"/>
            </a:ext>
          </a:extLst>
        </xdr:cNvPr>
        <xdr:cNvSpPr/>
      </xdr:nvSpPr>
      <xdr:spPr>
        <a:xfrm>
          <a:off x="6472428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98</xdr:col>
      <xdr:colOff>0</xdr:colOff>
      <xdr:row>20</xdr:row>
      <xdr:rowOff>0</xdr:rowOff>
    </xdr:from>
    <xdr:to>
      <xdr:col>100</xdr:col>
      <xdr:colOff>7620</xdr:colOff>
      <xdr:row>22</xdr:row>
      <xdr:rowOff>0</xdr:rowOff>
    </xdr:to>
    <xdr:sp macro="[0]!NextSection" textlink="">
      <xdr:nvSpPr>
        <xdr:cNvPr id="8" name="Vijfhoek 7">
          <a:extLst>
            <a:ext uri="{FF2B5EF4-FFF2-40B4-BE49-F238E27FC236}">
              <a16:creationId xmlns:a16="http://schemas.microsoft.com/office/drawing/2014/main" id="{00000000-0008-0000-0500-000008000000}"/>
            </a:ext>
          </a:extLst>
        </xdr:cNvPr>
        <xdr:cNvSpPr/>
      </xdr:nvSpPr>
      <xdr:spPr>
        <a:xfrm>
          <a:off x="7892796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116</xdr:col>
      <xdr:colOff>0</xdr:colOff>
      <xdr:row>20</xdr:row>
      <xdr:rowOff>0</xdr:rowOff>
    </xdr:from>
    <xdr:to>
      <xdr:col>118</xdr:col>
      <xdr:colOff>7620</xdr:colOff>
      <xdr:row>22</xdr:row>
      <xdr:rowOff>0</xdr:rowOff>
    </xdr:to>
    <xdr:sp macro="[0]!NextSection" textlink="">
      <xdr:nvSpPr>
        <xdr:cNvPr id="9" name="Vijfhoek 8">
          <a:extLst>
            <a:ext uri="{FF2B5EF4-FFF2-40B4-BE49-F238E27FC236}">
              <a16:creationId xmlns:a16="http://schemas.microsoft.com/office/drawing/2014/main" id="{00000000-0008-0000-0500-000009000000}"/>
            </a:ext>
          </a:extLst>
        </xdr:cNvPr>
        <xdr:cNvSpPr/>
      </xdr:nvSpPr>
      <xdr:spPr>
        <a:xfrm>
          <a:off x="9312402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62</xdr:col>
      <xdr:colOff>0</xdr:colOff>
      <xdr:row>20</xdr:row>
      <xdr:rowOff>0</xdr:rowOff>
    </xdr:from>
    <xdr:to>
      <xdr:col>64</xdr:col>
      <xdr:colOff>7620</xdr:colOff>
      <xdr:row>22</xdr:row>
      <xdr:rowOff>0</xdr:rowOff>
    </xdr:to>
    <xdr:sp macro="[0]!NextSection" textlink="">
      <xdr:nvSpPr>
        <xdr:cNvPr id="10" name="Vijfhoek 9">
          <a:extLst>
            <a:ext uri="{FF2B5EF4-FFF2-40B4-BE49-F238E27FC236}">
              <a16:creationId xmlns:a16="http://schemas.microsoft.com/office/drawing/2014/main" id="{00000000-0008-0000-0500-00000A000000}"/>
            </a:ext>
          </a:extLst>
        </xdr:cNvPr>
        <xdr:cNvSpPr/>
      </xdr:nvSpPr>
      <xdr:spPr>
        <a:xfrm>
          <a:off x="5053584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8</xdr:col>
      <xdr:colOff>0</xdr:colOff>
      <xdr:row>20</xdr:row>
      <xdr:rowOff>0</xdr:rowOff>
    </xdr:from>
    <xdr:to>
      <xdr:col>10</xdr:col>
      <xdr:colOff>0</xdr:colOff>
      <xdr:row>22</xdr:row>
      <xdr:rowOff>0</xdr:rowOff>
    </xdr:to>
    <xdr:sp macro="[0]!NextSection" textlink="">
      <xdr:nvSpPr>
        <xdr:cNvPr id="11" name="Vijfhoek 10">
          <a:extLst>
            <a:ext uri="{FF2B5EF4-FFF2-40B4-BE49-F238E27FC236}">
              <a16:creationId xmlns:a16="http://schemas.microsoft.com/office/drawing/2014/main" id="{00000000-0008-0000-0500-00000B000000}"/>
            </a:ext>
          </a:extLst>
        </xdr:cNvPr>
        <xdr:cNvSpPr/>
      </xdr:nvSpPr>
      <xdr:spPr>
        <a:xfrm>
          <a:off x="794766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78</xdr:col>
      <xdr:colOff>0</xdr:colOff>
      <xdr:row>20</xdr:row>
      <xdr:rowOff>0</xdr:rowOff>
    </xdr:from>
    <xdr:to>
      <xdr:col>80</xdr:col>
      <xdr:colOff>0</xdr:colOff>
      <xdr:row>22</xdr:row>
      <xdr:rowOff>0</xdr:rowOff>
    </xdr:to>
    <xdr:sp macro="[0]!SectionBack" textlink="">
      <xdr:nvSpPr>
        <xdr:cNvPr id="12" name="Vijfhoek 11">
          <a:extLst>
            <a:ext uri="{FF2B5EF4-FFF2-40B4-BE49-F238E27FC236}">
              <a16:creationId xmlns:a16="http://schemas.microsoft.com/office/drawing/2014/main" id="{00000000-0008-0000-0500-00000C000000}"/>
            </a:ext>
          </a:extLst>
        </xdr:cNvPr>
        <xdr:cNvSpPr/>
      </xdr:nvSpPr>
      <xdr:spPr>
        <a:xfrm flipH="1">
          <a:off x="6348222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96</xdr:col>
      <xdr:colOff>0</xdr:colOff>
      <xdr:row>20</xdr:row>
      <xdr:rowOff>0</xdr:rowOff>
    </xdr:from>
    <xdr:to>
      <xdr:col>98</xdr:col>
      <xdr:colOff>0</xdr:colOff>
      <xdr:row>22</xdr:row>
      <xdr:rowOff>0</xdr:rowOff>
    </xdr:to>
    <xdr:sp macro="[0]!SectionBack" textlink="">
      <xdr:nvSpPr>
        <xdr:cNvPr id="13" name="Vijfhoek 12">
          <a:extLst>
            <a:ext uri="{FF2B5EF4-FFF2-40B4-BE49-F238E27FC236}">
              <a16:creationId xmlns:a16="http://schemas.microsoft.com/office/drawing/2014/main" id="{00000000-0008-0000-0500-00000D000000}"/>
            </a:ext>
          </a:extLst>
        </xdr:cNvPr>
        <xdr:cNvSpPr/>
      </xdr:nvSpPr>
      <xdr:spPr>
        <a:xfrm flipH="1">
          <a:off x="7767828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114</xdr:col>
      <xdr:colOff>0</xdr:colOff>
      <xdr:row>20</xdr:row>
      <xdr:rowOff>0</xdr:rowOff>
    </xdr:from>
    <xdr:to>
      <xdr:col>116</xdr:col>
      <xdr:colOff>0</xdr:colOff>
      <xdr:row>22</xdr:row>
      <xdr:rowOff>0</xdr:rowOff>
    </xdr:to>
    <xdr:sp macro="[0]!SectionBack" textlink="">
      <xdr:nvSpPr>
        <xdr:cNvPr id="14" name="Vijfhoek 13">
          <a:extLst>
            <a:ext uri="{FF2B5EF4-FFF2-40B4-BE49-F238E27FC236}">
              <a16:creationId xmlns:a16="http://schemas.microsoft.com/office/drawing/2014/main" id="{00000000-0008-0000-0500-00000E000000}"/>
            </a:ext>
          </a:extLst>
        </xdr:cNvPr>
        <xdr:cNvSpPr/>
      </xdr:nvSpPr>
      <xdr:spPr>
        <a:xfrm flipH="1">
          <a:off x="9187434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editAs="oneCell">
    <xdr:from>
      <xdr:col>143</xdr:col>
      <xdr:colOff>11207</xdr:colOff>
      <xdr:row>4</xdr:row>
      <xdr:rowOff>8965</xdr:rowOff>
    </xdr:from>
    <xdr:to>
      <xdr:col>143</xdr:col>
      <xdr:colOff>425824</xdr:colOff>
      <xdr:row>5</xdr:row>
      <xdr:rowOff>20170</xdr:rowOff>
    </xdr:to>
    <xdr:pic macro="[0]!implementor">
      <xdr:nvPicPr>
        <xdr:cNvPr id="15" name="Afbeelding 14" descr="CF">
          <a:extLst>
            <a:ext uri="{FF2B5EF4-FFF2-40B4-BE49-F238E27FC236}">
              <a16:creationId xmlns:a16="http://schemas.microsoft.com/office/drawing/2014/main" id="{00000000-0008-0000-05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7316047" y="1129105"/>
          <a:ext cx="414617" cy="4150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0</xdr:colOff>
      <xdr:row>6</xdr:row>
      <xdr:rowOff>0</xdr:rowOff>
    </xdr:from>
    <xdr:to>
      <xdr:col>143</xdr:col>
      <xdr:colOff>425824</xdr:colOff>
      <xdr:row>7</xdr:row>
      <xdr:rowOff>22411</xdr:rowOff>
    </xdr:to>
    <xdr:pic macro="[0]!Coordinator">
      <xdr:nvPicPr>
        <xdr:cNvPr id="16" name="Afbeelding 15" descr="CO">
          <a:extLst>
            <a:ext uri="{FF2B5EF4-FFF2-40B4-BE49-F238E27FC236}">
              <a16:creationId xmlns:a16="http://schemas.microsoft.com/office/drawing/2014/main" id="{00000000-0008-0000-0500-00001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7304840" y="1584960"/>
          <a:ext cx="425824" cy="426272"/>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8</xdr:row>
      <xdr:rowOff>0</xdr:rowOff>
    </xdr:from>
    <xdr:to>
      <xdr:col>143</xdr:col>
      <xdr:colOff>425825</xdr:colOff>
      <xdr:row>9</xdr:row>
      <xdr:rowOff>11208</xdr:rowOff>
    </xdr:to>
    <xdr:pic macro="[0]!Shaper">
      <xdr:nvPicPr>
        <xdr:cNvPr id="17" name="Afbeelding 16" descr="SH">
          <a:extLst>
            <a:ext uri="{FF2B5EF4-FFF2-40B4-BE49-F238E27FC236}">
              <a16:creationId xmlns:a16="http://schemas.microsoft.com/office/drawing/2014/main" id="{00000000-0008-0000-05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07316047" y="2049780"/>
          <a:ext cx="414618" cy="4150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10</xdr:row>
      <xdr:rowOff>0</xdr:rowOff>
    </xdr:from>
    <xdr:to>
      <xdr:col>143</xdr:col>
      <xdr:colOff>425825</xdr:colOff>
      <xdr:row>11</xdr:row>
      <xdr:rowOff>11206</xdr:rowOff>
    </xdr:to>
    <xdr:pic macro="[0]!Plant">
      <xdr:nvPicPr>
        <xdr:cNvPr id="18" name="Afbeelding 17" descr="PL">
          <a:extLst>
            <a:ext uri="{FF2B5EF4-FFF2-40B4-BE49-F238E27FC236}">
              <a16:creationId xmlns:a16="http://schemas.microsoft.com/office/drawing/2014/main" id="{00000000-0008-0000-0500-000012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07316047" y="2514600"/>
          <a:ext cx="414618" cy="415066"/>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12</xdr:row>
      <xdr:rowOff>0</xdr:rowOff>
    </xdr:from>
    <xdr:to>
      <xdr:col>143</xdr:col>
      <xdr:colOff>425825</xdr:colOff>
      <xdr:row>13</xdr:row>
      <xdr:rowOff>11206</xdr:rowOff>
    </xdr:to>
    <xdr:pic macro="[0]!Resource">
      <xdr:nvPicPr>
        <xdr:cNvPr id="19" name="Afbeelding 18" descr="RI">
          <a:extLst>
            <a:ext uri="{FF2B5EF4-FFF2-40B4-BE49-F238E27FC236}">
              <a16:creationId xmlns:a16="http://schemas.microsoft.com/office/drawing/2014/main" id="{00000000-0008-0000-0500-000013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07316047" y="2979420"/>
          <a:ext cx="414618" cy="4150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14</xdr:row>
      <xdr:rowOff>0</xdr:rowOff>
    </xdr:from>
    <xdr:to>
      <xdr:col>143</xdr:col>
      <xdr:colOff>425825</xdr:colOff>
      <xdr:row>15</xdr:row>
      <xdr:rowOff>11206</xdr:rowOff>
    </xdr:to>
    <xdr:pic macro="[0]!Monitor">
      <xdr:nvPicPr>
        <xdr:cNvPr id="20" name="Afbeelding 19" descr="ME">
          <a:extLst>
            <a:ext uri="{FF2B5EF4-FFF2-40B4-BE49-F238E27FC236}">
              <a16:creationId xmlns:a16="http://schemas.microsoft.com/office/drawing/2014/main" id="{00000000-0008-0000-0500-000014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07316047" y="3444240"/>
          <a:ext cx="414618" cy="415066"/>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16</xdr:row>
      <xdr:rowOff>0</xdr:rowOff>
    </xdr:from>
    <xdr:to>
      <xdr:col>143</xdr:col>
      <xdr:colOff>425825</xdr:colOff>
      <xdr:row>17</xdr:row>
      <xdr:rowOff>11206</xdr:rowOff>
    </xdr:to>
    <xdr:pic macro="[0]!TeamWorker">
      <xdr:nvPicPr>
        <xdr:cNvPr id="21" name="Afbeelding 20" descr="TW">
          <a:extLst>
            <a:ext uri="{FF2B5EF4-FFF2-40B4-BE49-F238E27FC236}">
              <a16:creationId xmlns:a16="http://schemas.microsoft.com/office/drawing/2014/main" id="{00000000-0008-0000-0500-000015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07316047" y="3909060"/>
          <a:ext cx="414618" cy="4150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18</xdr:row>
      <xdr:rowOff>0</xdr:rowOff>
    </xdr:from>
    <xdr:to>
      <xdr:col>143</xdr:col>
      <xdr:colOff>425825</xdr:colOff>
      <xdr:row>19</xdr:row>
      <xdr:rowOff>11206</xdr:rowOff>
    </xdr:to>
    <xdr:pic macro="[0]!Completer">
      <xdr:nvPicPr>
        <xdr:cNvPr id="22" name="Afbeelding 21" descr="CF">
          <a:extLst>
            <a:ext uri="{FF2B5EF4-FFF2-40B4-BE49-F238E27FC236}">
              <a16:creationId xmlns:a16="http://schemas.microsoft.com/office/drawing/2014/main" id="{00000000-0008-0000-05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7316047" y="4373880"/>
          <a:ext cx="414618" cy="4150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11208</xdr:colOff>
      <xdr:row>20</xdr:row>
      <xdr:rowOff>1</xdr:rowOff>
    </xdr:from>
    <xdr:to>
      <xdr:col>143</xdr:col>
      <xdr:colOff>425826</xdr:colOff>
      <xdr:row>21</xdr:row>
      <xdr:rowOff>11207</xdr:rowOff>
    </xdr:to>
    <xdr:pic macro="[0]!Specialist">
      <xdr:nvPicPr>
        <xdr:cNvPr id="23" name="Afbeelding 22" descr="SP">
          <a:extLst>
            <a:ext uri="{FF2B5EF4-FFF2-40B4-BE49-F238E27FC236}">
              <a16:creationId xmlns:a16="http://schemas.microsoft.com/office/drawing/2014/main" id="{00000000-0008-0000-0500-000017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07316048" y="4838701"/>
          <a:ext cx="414618" cy="4150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140</xdr:col>
      <xdr:colOff>1</xdr:colOff>
      <xdr:row>1</xdr:row>
      <xdr:rowOff>22412</xdr:rowOff>
    </xdr:from>
    <xdr:to>
      <xdr:col>141</xdr:col>
      <xdr:colOff>663388</xdr:colOff>
      <xdr:row>2</xdr:row>
      <xdr:rowOff>338295</xdr:rowOff>
    </xdr:to>
    <xdr:sp macro="[0]!ToStart" textlink="">
      <xdr:nvSpPr>
        <xdr:cNvPr id="24" name="Afgeronde rechthoek 23">
          <a:extLst>
            <a:ext uri="{FF2B5EF4-FFF2-40B4-BE49-F238E27FC236}">
              <a16:creationId xmlns:a16="http://schemas.microsoft.com/office/drawing/2014/main" id="{00000000-0008-0000-0500-000018000000}"/>
            </a:ext>
          </a:extLst>
        </xdr:cNvPr>
        <xdr:cNvSpPr/>
      </xdr:nvSpPr>
      <xdr:spPr>
        <a:xfrm>
          <a:off x="105049321" y="251012"/>
          <a:ext cx="1288227" cy="53686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200" b="0"/>
            <a:t>Back to Start</a:t>
          </a:r>
          <a:endParaRPr lang="nl-NL" sz="1000" b="0"/>
        </a:p>
      </xdr:txBody>
    </xdr:sp>
    <xdr:clientData fPrintsWithSheet="0"/>
  </xdr:twoCellAnchor>
  <xdr:twoCellAnchor>
    <xdr:from>
      <xdr:col>142</xdr:col>
      <xdr:colOff>481853</xdr:colOff>
      <xdr:row>1</xdr:row>
      <xdr:rowOff>0</xdr:rowOff>
    </xdr:from>
    <xdr:to>
      <xdr:col>144</xdr:col>
      <xdr:colOff>0</xdr:colOff>
      <xdr:row>2</xdr:row>
      <xdr:rowOff>315883</xdr:rowOff>
    </xdr:to>
    <xdr:sp macro="[0]!Printpreview" textlink="">
      <xdr:nvSpPr>
        <xdr:cNvPr id="25" name="Afgeronde rechthoek 24">
          <a:extLst>
            <a:ext uri="{FF2B5EF4-FFF2-40B4-BE49-F238E27FC236}">
              <a16:creationId xmlns:a16="http://schemas.microsoft.com/office/drawing/2014/main" id="{00000000-0008-0000-0500-000019000000}"/>
            </a:ext>
          </a:extLst>
        </xdr:cNvPr>
        <xdr:cNvSpPr/>
      </xdr:nvSpPr>
      <xdr:spPr>
        <a:xfrm>
          <a:off x="107161853" y="228600"/>
          <a:ext cx="600187" cy="53686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nl-NL" sz="2800">
              <a:sym typeface="Webdings"/>
            </a:rPr>
            <a:t></a:t>
          </a:r>
          <a:endParaRPr lang="nl-NL" sz="1100"/>
        </a:p>
      </xdr:txBody>
    </xdr:sp>
    <xdr:clientData fPrintsWithSheet="0"/>
  </xdr:twoCellAnchor>
  <xdr:twoCellAnchor>
    <xdr:from>
      <xdr:col>127</xdr:col>
      <xdr:colOff>35859</xdr:colOff>
      <xdr:row>25</xdr:row>
      <xdr:rowOff>188258</xdr:rowOff>
    </xdr:from>
    <xdr:to>
      <xdr:col>144</xdr:col>
      <xdr:colOff>0</xdr:colOff>
      <xdr:row>51</xdr:row>
      <xdr:rowOff>183777</xdr:rowOff>
    </xdr:to>
    <xdr:graphicFrame macro="">
      <xdr:nvGraphicFramePr>
        <xdr:cNvPr id="26" name="Grafiek 25">
          <a:extLst>
            <a:ext uri="{FF2B5EF4-FFF2-40B4-BE49-F238E27FC236}">
              <a16:creationId xmlns:a16="http://schemas.microsoft.com/office/drawing/2014/main" id="{00000000-0008-0000-05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140</xdr:col>
      <xdr:colOff>1</xdr:colOff>
      <xdr:row>22</xdr:row>
      <xdr:rowOff>143436</xdr:rowOff>
    </xdr:from>
    <xdr:ext cx="2716305" cy="609013"/>
    <xdr:sp macro="" textlink="">
      <xdr:nvSpPr>
        <xdr:cNvPr id="27" name="Tekstvak 26">
          <a:extLst>
            <a:ext uri="{FF2B5EF4-FFF2-40B4-BE49-F238E27FC236}">
              <a16:creationId xmlns:a16="http://schemas.microsoft.com/office/drawing/2014/main" id="{00000000-0008-0000-0500-00001B000000}"/>
            </a:ext>
          </a:extLst>
        </xdr:cNvPr>
        <xdr:cNvSpPr txBox="1"/>
      </xdr:nvSpPr>
      <xdr:spPr>
        <a:xfrm>
          <a:off x="105049321" y="5446956"/>
          <a:ext cx="2716305" cy="609013"/>
        </a:xfrm>
        <a:prstGeom prst="rect">
          <a:avLst/>
        </a:prstGeom>
        <a:solidFill>
          <a:schemeClr val="tx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nl-NL" sz="1100">
              <a:solidFill>
                <a:schemeClr val="bg1"/>
              </a:solidFill>
            </a:rPr>
            <a:t>Blue highlighted Roles are most applicable. By clicking on the icon, information about this role will be shown.</a:t>
          </a:r>
        </a:p>
      </xdr:txBody>
    </xdr:sp>
    <xdr:clientData fPrintsWithSheet="0"/>
  </xdr:oneCellAnchor>
  <xdr:twoCellAnchor editAs="oneCell">
    <xdr:from>
      <xdr:col>132</xdr:col>
      <xdr:colOff>1</xdr:colOff>
      <xdr:row>20</xdr:row>
      <xdr:rowOff>0</xdr:rowOff>
    </xdr:from>
    <xdr:to>
      <xdr:col>133</xdr:col>
      <xdr:colOff>1</xdr:colOff>
      <xdr:row>20</xdr:row>
      <xdr:rowOff>403411</xdr:rowOff>
    </xdr:to>
    <xdr:pic>
      <xdr:nvPicPr>
        <xdr:cNvPr id="28" name="Afbeelding 27" descr="PL">
          <a:extLst>
            <a:ext uri="{FF2B5EF4-FFF2-40B4-BE49-F238E27FC236}">
              <a16:creationId xmlns:a16="http://schemas.microsoft.com/office/drawing/2014/main" id="{00000000-0008-0000-0500-00001C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10183368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133</xdr:col>
      <xdr:colOff>1</xdr:colOff>
      <xdr:row>20</xdr:row>
      <xdr:rowOff>0</xdr:rowOff>
    </xdr:from>
    <xdr:to>
      <xdr:col>134</xdr:col>
      <xdr:colOff>1</xdr:colOff>
      <xdr:row>20</xdr:row>
      <xdr:rowOff>403411</xdr:rowOff>
    </xdr:to>
    <xdr:pic>
      <xdr:nvPicPr>
        <xdr:cNvPr id="29" name="Afbeelding 28" descr="RI">
          <a:extLst>
            <a:ext uri="{FF2B5EF4-FFF2-40B4-BE49-F238E27FC236}">
              <a16:creationId xmlns:a16="http://schemas.microsoft.com/office/drawing/2014/main" id="{00000000-0008-0000-0500-00001D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102161341"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130</xdr:col>
      <xdr:colOff>0</xdr:colOff>
      <xdr:row>20</xdr:row>
      <xdr:rowOff>0</xdr:rowOff>
    </xdr:from>
    <xdr:to>
      <xdr:col>131</xdr:col>
      <xdr:colOff>0</xdr:colOff>
      <xdr:row>20</xdr:row>
      <xdr:rowOff>403411</xdr:rowOff>
    </xdr:to>
    <xdr:pic>
      <xdr:nvPicPr>
        <xdr:cNvPr id="30" name="Afbeelding 29" descr="CO">
          <a:extLst>
            <a:ext uri="{FF2B5EF4-FFF2-40B4-BE49-F238E27FC236}">
              <a16:creationId xmlns:a16="http://schemas.microsoft.com/office/drawing/2014/main" id="{00000000-0008-0000-0500-00001E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101178360"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131</xdr:col>
      <xdr:colOff>1</xdr:colOff>
      <xdr:row>20</xdr:row>
      <xdr:rowOff>0</xdr:rowOff>
    </xdr:from>
    <xdr:to>
      <xdr:col>132</xdr:col>
      <xdr:colOff>1</xdr:colOff>
      <xdr:row>20</xdr:row>
      <xdr:rowOff>403411</xdr:rowOff>
    </xdr:to>
    <xdr:pic>
      <xdr:nvPicPr>
        <xdr:cNvPr id="31" name="Afbeelding 30" descr="SH">
          <a:extLst>
            <a:ext uri="{FF2B5EF4-FFF2-40B4-BE49-F238E27FC236}">
              <a16:creationId xmlns:a16="http://schemas.microsoft.com/office/drawing/2014/main" id="{00000000-0008-0000-0500-00001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101506021"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134</xdr:col>
      <xdr:colOff>1</xdr:colOff>
      <xdr:row>20</xdr:row>
      <xdr:rowOff>0</xdr:rowOff>
    </xdr:from>
    <xdr:to>
      <xdr:col>135</xdr:col>
      <xdr:colOff>1</xdr:colOff>
      <xdr:row>20</xdr:row>
      <xdr:rowOff>403411</xdr:rowOff>
    </xdr:to>
    <xdr:pic>
      <xdr:nvPicPr>
        <xdr:cNvPr id="32" name="Afbeelding 31" descr="ME">
          <a:extLst>
            <a:ext uri="{FF2B5EF4-FFF2-40B4-BE49-F238E27FC236}">
              <a16:creationId xmlns:a16="http://schemas.microsoft.com/office/drawing/2014/main" id="{00000000-0008-0000-0500-000020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10248900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135</xdr:col>
      <xdr:colOff>0</xdr:colOff>
      <xdr:row>20</xdr:row>
      <xdr:rowOff>0</xdr:rowOff>
    </xdr:from>
    <xdr:to>
      <xdr:col>136</xdr:col>
      <xdr:colOff>0</xdr:colOff>
      <xdr:row>20</xdr:row>
      <xdr:rowOff>403411</xdr:rowOff>
    </xdr:to>
    <xdr:pic>
      <xdr:nvPicPr>
        <xdr:cNvPr id="33" name="Afbeelding 32" descr="TW">
          <a:extLst>
            <a:ext uri="{FF2B5EF4-FFF2-40B4-BE49-F238E27FC236}">
              <a16:creationId xmlns:a16="http://schemas.microsoft.com/office/drawing/2014/main" id="{00000000-0008-0000-0500-000021000000}"/>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102816660"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129</xdr:col>
      <xdr:colOff>1</xdr:colOff>
      <xdr:row>20</xdr:row>
      <xdr:rowOff>0</xdr:rowOff>
    </xdr:from>
    <xdr:to>
      <xdr:col>130</xdr:col>
      <xdr:colOff>1</xdr:colOff>
      <xdr:row>20</xdr:row>
      <xdr:rowOff>403411</xdr:rowOff>
    </xdr:to>
    <xdr:pic>
      <xdr:nvPicPr>
        <xdr:cNvPr id="34" name="Afbeelding 33" descr="IMP">
          <a:extLst>
            <a:ext uri="{FF2B5EF4-FFF2-40B4-BE49-F238E27FC236}">
              <a16:creationId xmlns:a16="http://schemas.microsoft.com/office/drawing/2014/main" id="{00000000-0008-0000-0500-000022000000}"/>
            </a:ext>
          </a:extLst>
        </xdr:cNvPr>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10085070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136</xdr:col>
      <xdr:colOff>1</xdr:colOff>
      <xdr:row>20</xdr:row>
      <xdr:rowOff>0</xdr:rowOff>
    </xdr:from>
    <xdr:to>
      <xdr:col>137</xdr:col>
      <xdr:colOff>1</xdr:colOff>
      <xdr:row>20</xdr:row>
      <xdr:rowOff>403411</xdr:rowOff>
    </xdr:to>
    <xdr:pic>
      <xdr:nvPicPr>
        <xdr:cNvPr id="35" name="Afbeelding 34" descr="CF">
          <a:extLst>
            <a:ext uri="{FF2B5EF4-FFF2-40B4-BE49-F238E27FC236}">
              <a16:creationId xmlns:a16="http://schemas.microsoft.com/office/drawing/2014/main" id="{00000000-0008-0000-0500-000023000000}"/>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103144321"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137</xdr:col>
      <xdr:colOff>1</xdr:colOff>
      <xdr:row>20</xdr:row>
      <xdr:rowOff>0</xdr:rowOff>
    </xdr:from>
    <xdr:to>
      <xdr:col>138</xdr:col>
      <xdr:colOff>1</xdr:colOff>
      <xdr:row>20</xdr:row>
      <xdr:rowOff>403411</xdr:rowOff>
    </xdr:to>
    <xdr:pic>
      <xdr:nvPicPr>
        <xdr:cNvPr id="36" name="Afbeelding 35" descr="SP">
          <a:extLst>
            <a:ext uri="{FF2B5EF4-FFF2-40B4-BE49-F238E27FC236}">
              <a16:creationId xmlns:a16="http://schemas.microsoft.com/office/drawing/2014/main" id="{00000000-0008-0000-0500-000024000000}"/>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10347198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5</xdr:col>
      <xdr:colOff>537879</xdr:colOff>
      <xdr:row>20</xdr:row>
      <xdr:rowOff>8965</xdr:rowOff>
    </xdr:from>
    <xdr:to>
      <xdr:col>7</xdr:col>
      <xdr:colOff>573737</xdr:colOff>
      <xdr:row>22</xdr:row>
      <xdr:rowOff>11083</xdr:rowOff>
    </xdr:to>
    <xdr:sp macro="[0]!ToStart" textlink="">
      <xdr:nvSpPr>
        <xdr:cNvPr id="37" name="Afgeronde rechthoek 36">
          <a:extLst>
            <a:ext uri="{FF2B5EF4-FFF2-40B4-BE49-F238E27FC236}">
              <a16:creationId xmlns:a16="http://schemas.microsoft.com/office/drawing/2014/main" id="{00000000-0008-0000-0500-000025000000}"/>
            </a:ext>
          </a:extLst>
        </xdr:cNvPr>
        <xdr:cNvSpPr/>
      </xdr:nvSpPr>
      <xdr:spPr>
        <a:xfrm>
          <a:off x="6615950" y="4858871"/>
          <a:ext cx="1290916" cy="46828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200" b="0"/>
            <a:t>Back to Start</a:t>
          </a:r>
          <a:endParaRPr lang="nl-NL" sz="1000" b="0"/>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25</xdr:col>
      <xdr:colOff>609600</xdr:colOff>
      <xdr:row>19</xdr:row>
      <xdr:rowOff>45720</xdr:rowOff>
    </xdr:from>
    <xdr:to>
      <xdr:col>27</xdr:col>
      <xdr:colOff>617220</xdr:colOff>
      <xdr:row>21</xdr:row>
      <xdr:rowOff>45720</xdr:rowOff>
    </xdr:to>
    <xdr:sp macro="[0]!NextSection" textlink="">
      <xdr:nvSpPr>
        <xdr:cNvPr id="2" name="Vijfhoek 1">
          <a:extLst>
            <a:ext uri="{FF2B5EF4-FFF2-40B4-BE49-F238E27FC236}">
              <a16:creationId xmlns:a16="http://schemas.microsoft.com/office/drawing/2014/main" id="{00000000-0008-0000-0600-000002000000}"/>
            </a:ext>
          </a:extLst>
        </xdr:cNvPr>
        <xdr:cNvSpPr/>
      </xdr:nvSpPr>
      <xdr:spPr>
        <a:xfrm>
          <a:off x="22128480" y="482346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44</xdr:col>
      <xdr:colOff>0</xdr:colOff>
      <xdr:row>20</xdr:row>
      <xdr:rowOff>0</xdr:rowOff>
    </xdr:from>
    <xdr:to>
      <xdr:col>46</xdr:col>
      <xdr:colOff>0</xdr:colOff>
      <xdr:row>22</xdr:row>
      <xdr:rowOff>0</xdr:rowOff>
    </xdr:to>
    <xdr:sp macro="[0]!NextSection" textlink="">
      <xdr:nvSpPr>
        <xdr:cNvPr id="3" name="Vijfhoek 2">
          <a:extLst>
            <a:ext uri="{FF2B5EF4-FFF2-40B4-BE49-F238E27FC236}">
              <a16:creationId xmlns:a16="http://schemas.microsoft.com/office/drawing/2014/main" id="{00000000-0008-0000-0600-000003000000}"/>
            </a:ext>
          </a:extLst>
        </xdr:cNvPr>
        <xdr:cNvSpPr/>
      </xdr:nvSpPr>
      <xdr:spPr>
        <a:xfrm>
          <a:off x="3633978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42</xdr:col>
      <xdr:colOff>0</xdr:colOff>
      <xdr:row>20</xdr:row>
      <xdr:rowOff>0</xdr:rowOff>
    </xdr:from>
    <xdr:to>
      <xdr:col>44</xdr:col>
      <xdr:colOff>0</xdr:colOff>
      <xdr:row>22</xdr:row>
      <xdr:rowOff>0</xdr:rowOff>
    </xdr:to>
    <xdr:sp macro="[0]!SectionBack" textlink="">
      <xdr:nvSpPr>
        <xdr:cNvPr id="4" name="Vijfhoek 3">
          <a:extLst>
            <a:ext uri="{FF2B5EF4-FFF2-40B4-BE49-F238E27FC236}">
              <a16:creationId xmlns:a16="http://schemas.microsoft.com/office/drawing/2014/main" id="{00000000-0008-0000-0600-000004000000}"/>
            </a:ext>
          </a:extLst>
        </xdr:cNvPr>
        <xdr:cNvSpPr/>
      </xdr:nvSpPr>
      <xdr:spPr>
        <a:xfrm flipH="1">
          <a:off x="3509010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24</xdr:col>
      <xdr:colOff>0</xdr:colOff>
      <xdr:row>19</xdr:row>
      <xdr:rowOff>45720</xdr:rowOff>
    </xdr:from>
    <xdr:to>
      <xdr:col>26</xdr:col>
      <xdr:colOff>0</xdr:colOff>
      <xdr:row>21</xdr:row>
      <xdr:rowOff>45720</xdr:rowOff>
    </xdr:to>
    <xdr:sp macro="[0]!SectionBack" textlink="">
      <xdr:nvSpPr>
        <xdr:cNvPr id="5" name="Vijfhoek 4">
          <a:extLst>
            <a:ext uri="{FF2B5EF4-FFF2-40B4-BE49-F238E27FC236}">
              <a16:creationId xmlns:a16="http://schemas.microsoft.com/office/drawing/2014/main" id="{00000000-0008-0000-0600-000005000000}"/>
            </a:ext>
          </a:extLst>
        </xdr:cNvPr>
        <xdr:cNvSpPr/>
      </xdr:nvSpPr>
      <xdr:spPr>
        <a:xfrm flipH="1">
          <a:off x="20894040" y="482346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60</xdr:col>
      <xdr:colOff>0</xdr:colOff>
      <xdr:row>20</xdr:row>
      <xdr:rowOff>0</xdr:rowOff>
    </xdr:from>
    <xdr:to>
      <xdr:col>62</xdr:col>
      <xdr:colOff>0</xdr:colOff>
      <xdr:row>22</xdr:row>
      <xdr:rowOff>0</xdr:rowOff>
    </xdr:to>
    <xdr:sp macro="[0]!SectionBack" textlink="">
      <xdr:nvSpPr>
        <xdr:cNvPr id="6" name="Vijfhoek 5">
          <a:extLst>
            <a:ext uri="{FF2B5EF4-FFF2-40B4-BE49-F238E27FC236}">
              <a16:creationId xmlns:a16="http://schemas.microsoft.com/office/drawing/2014/main" id="{00000000-0008-0000-0600-000006000000}"/>
            </a:ext>
          </a:extLst>
        </xdr:cNvPr>
        <xdr:cNvSpPr/>
      </xdr:nvSpPr>
      <xdr:spPr>
        <a:xfrm flipH="1">
          <a:off x="4928616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79</xdr:col>
      <xdr:colOff>617220</xdr:colOff>
      <xdr:row>20</xdr:row>
      <xdr:rowOff>0</xdr:rowOff>
    </xdr:from>
    <xdr:to>
      <xdr:col>82</xdr:col>
      <xdr:colOff>0</xdr:colOff>
      <xdr:row>22</xdr:row>
      <xdr:rowOff>0</xdr:rowOff>
    </xdr:to>
    <xdr:sp macro="[0]!NextSection" textlink="">
      <xdr:nvSpPr>
        <xdr:cNvPr id="7" name="Vijfhoek 6">
          <a:extLst>
            <a:ext uri="{FF2B5EF4-FFF2-40B4-BE49-F238E27FC236}">
              <a16:creationId xmlns:a16="http://schemas.microsoft.com/office/drawing/2014/main" id="{00000000-0008-0000-0600-000007000000}"/>
            </a:ext>
          </a:extLst>
        </xdr:cNvPr>
        <xdr:cNvSpPr/>
      </xdr:nvSpPr>
      <xdr:spPr>
        <a:xfrm>
          <a:off x="6472428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98</xdr:col>
      <xdr:colOff>0</xdr:colOff>
      <xdr:row>20</xdr:row>
      <xdr:rowOff>0</xdr:rowOff>
    </xdr:from>
    <xdr:to>
      <xdr:col>100</xdr:col>
      <xdr:colOff>7620</xdr:colOff>
      <xdr:row>22</xdr:row>
      <xdr:rowOff>0</xdr:rowOff>
    </xdr:to>
    <xdr:sp macro="[0]!NextSection" textlink="">
      <xdr:nvSpPr>
        <xdr:cNvPr id="8" name="Vijfhoek 7">
          <a:extLst>
            <a:ext uri="{FF2B5EF4-FFF2-40B4-BE49-F238E27FC236}">
              <a16:creationId xmlns:a16="http://schemas.microsoft.com/office/drawing/2014/main" id="{00000000-0008-0000-0600-000008000000}"/>
            </a:ext>
          </a:extLst>
        </xdr:cNvPr>
        <xdr:cNvSpPr/>
      </xdr:nvSpPr>
      <xdr:spPr>
        <a:xfrm>
          <a:off x="7892796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116</xdr:col>
      <xdr:colOff>0</xdr:colOff>
      <xdr:row>20</xdr:row>
      <xdr:rowOff>0</xdr:rowOff>
    </xdr:from>
    <xdr:to>
      <xdr:col>118</xdr:col>
      <xdr:colOff>7620</xdr:colOff>
      <xdr:row>22</xdr:row>
      <xdr:rowOff>0</xdr:rowOff>
    </xdr:to>
    <xdr:sp macro="[0]!NextSection" textlink="">
      <xdr:nvSpPr>
        <xdr:cNvPr id="9" name="Vijfhoek 8">
          <a:extLst>
            <a:ext uri="{FF2B5EF4-FFF2-40B4-BE49-F238E27FC236}">
              <a16:creationId xmlns:a16="http://schemas.microsoft.com/office/drawing/2014/main" id="{00000000-0008-0000-0600-000009000000}"/>
            </a:ext>
          </a:extLst>
        </xdr:cNvPr>
        <xdr:cNvSpPr/>
      </xdr:nvSpPr>
      <xdr:spPr>
        <a:xfrm>
          <a:off x="9312402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62</xdr:col>
      <xdr:colOff>0</xdr:colOff>
      <xdr:row>20</xdr:row>
      <xdr:rowOff>0</xdr:rowOff>
    </xdr:from>
    <xdr:to>
      <xdr:col>64</xdr:col>
      <xdr:colOff>7620</xdr:colOff>
      <xdr:row>22</xdr:row>
      <xdr:rowOff>0</xdr:rowOff>
    </xdr:to>
    <xdr:sp macro="[0]!NextSection" textlink="">
      <xdr:nvSpPr>
        <xdr:cNvPr id="10" name="Vijfhoek 9">
          <a:extLst>
            <a:ext uri="{FF2B5EF4-FFF2-40B4-BE49-F238E27FC236}">
              <a16:creationId xmlns:a16="http://schemas.microsoft.com/office/drawing/2014/main" id="{00000000-0008-0000-0600-00000A000000}"/>
            </a:ext>
          </a:extLst>
        </xdr:cNvPr>
        <xdr:cNvSpPr/>
      </xdr:nvSpPr>
      <xdr:spPr>
        <a:xfrm>
          <a:off x="5053584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8</xdr:col>
      <xdr:colOff>0</xdr:colOff>
      <xdr:row>20</xdr:row>
      <xdr:rowOff>0</xdr:rowOff>
    </xdr:from>
    <xdr:to>
      <xdr:col>10</xdr:col>
      <xdr:colOff>0</xdr:colOff>
      <xdr:row>22</xdr:row>
      <xdr:rowOff>0</xdr:rowOff>
    </xdr:to>
    <xdr:sp macro="[0]!NextSection" textlink="">
      <xdr:nvSpPr>
        <xdr:cNvPr id="11" name="Vijfhoek 10">
          <a:extLst>
            <a:ext uri="{FF2B5EF4-FFF2-40B4-BE49-F238E27FC236}">
              <a16:creationId xmlns:a16="http://schemas.microsoft.com/office/drawing/2014/main" id="{00000000-0008-0000-0600-00000B000000}"/>
            </a:ext>
          </a:extLst>
        </xdr:cNvPr>
        <xdr:cNvSpPr/>
      </xdr:nvSpPr>
      <xdr:spPr>
        <a:xfrm>
          <a:off x="794766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78</xdr:col>
      <xdr:colOff>0</xdr:colOff>
      <xdr:row>20</xdr:row>
      <xdr:rowOff>0</xdr:rowOff>
    </xdr:from>
    <xdr:to>
      <xdr:col>80</xdr:col>
      <xdr:colOff>0</xdr:colOff>
      <xdr:row>22</xdr:row>
      <xdr:rowOff>0</xdr:rowOff>
    </xdr:to>
    <xdr:sp macro="[0]!SectionBack" textlink="">
      <xdr:nvSpPr>
        <xdr:cNvPr id="12" name="Vijfhoek 11">
          <a:extLst>
            <a:ext uri="{FF2B5EF4-FFF2-40B4-BE49-F238E27FC236}">
              <a16:creationId xmlns:a16="http://schemas.microsoft.com/office/drawing/2014/main" id="{00000000-0008-0000-0600-00000C000000}"/>
            </a:ext>
          </a:extLst>
        </xdr:cNvPr>
        <xdr:cNvSpPr/>
      </xdr:nvSpPr>
      <xdr:spPr>
        <a:xfrm flipH="1">
          <a:off x="6348222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96</xdr:col>
      <xdr:colOff>0</xdr:colOff>
      <xdr:row>20</xdr:row>
      <xdr:rowOff>0</xdr:rowOff>
    </xdr:from>
    <xdr:to>
      <xdr:col>98</xdr:col>
      <xdr:colOff>0</xdr:colOff>
      <xdr:row>22</xdr:row>
      <xdr:rowOff>0</xdr:rowOff>
    </xdr:to>
    <xdr:sp macro="[0]!SectionBack" textlink="">
      <xdr:nvSpPr>
        <xdr:cNvPr id="13" name="Vijfhoek 12">
          <a:extLst>
            <a:ext uri="{FF2B5EF4-FFF2-40B4-BE49-F238E27FC236}">
              <a16:creationId xmlns:a16="http://schemas.microsoft.com/office/drawing/2014/main" id="{00000000-0008-0000-0600-00000D000000}"/>
            </a:ext>
          </a:extLst>
        </xdr:cNvPr>
        <xdr:cNvSpPr/>
      </xdr:nvSpPr>
      <xdr:spPr>
        <a:xfrm flipH="1">
          <a:off x="7767828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114</xdr:col>
      <xdr:colOff>0</xdr:colOff>
      <xdr:row>20</xdr:row>
      <xdr:rowOff>0</xdr:rowOff>
    </xdr:from>
    <xdr:to>
      <xdr:col>116</xdr:col>
      <xdr:colOff>0</xdr:colOff>
      <xdr:row>22</xdr:row>
      <xdr:rowOff>0</xdr:rowOff>
    </xdr:to>
    <xdr:sp macro="[0]!SectionBack" textlink="">
      <xdr:nvSpPr>
        <xdr:cNvPr id="14" name="Vijfhoek 13">
          <a:extLst>
            <a:ext uri="{FF2B5EF4-FFF2-40B4-BE49-F238E27FC236}">
              <a16:creationId xmlns:a16="http://schemas.microsoft.com/office/drawing/2014/main" id="{00000000-0008-0000-0600-00000E000000}"/>
            </a:ext>
          </a:extLst>
        </xdr:cNvPr>
        <xdr:cNvSpPr/>
      </xdr:nvSpPr>
      <xdr:spPr>
        <a:xfrm flipH="1">
          <a:off x="9187434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editAs="oneCell">
    <xdr:from>
      <xdr:col>143</xdr:col>
      <xdr:colOff>11207</xdr:colOff>
      <xdr:row>4</xdr:row>
      <xdr:rowOff>8965</xdr:rowOff>
    </xdr:from>
    <xdr:to>
      <xdr:col>143</xdr:col>
      <xdr:colOff>425824</xdr:colOff>
      <xdr:row>5</xdr:row>
      <xdr:rowOff>20170</xdr:rowOff>
    </xdr:to>
    <xdr:pic macro="[0]!implementor">
      <xdr:nvPicPr>
        <xdr:cNvPr id="15" name="Afbeelding 14" descr="CF">
          <a:extLst>
            <a:ext uri="{FF2B5EF4-FFF2-40B4-BE49-F238E27FC236}">
              <a16:creationId xmlns:a16="http://schemas.microsoft.com/office/drawing/2014/main" id="{00000000-0008-0000-06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7316047" y="1129105"/>
          <a:ext cx="414617" cy="4150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0</xdr:colOff>
      <xdr:row>6</xdr:row>
      <xdr:rowOff>0</xdr:rowOff>
    </xdr:from>
    <xdr:to>
      <xdr:col>143</xdr:col>
      <xdr:colOff>425824</xdr:colOff>
      <xdr:row>7</xdr:row>
      <xdr:rowOff>22411</xdr:rowOff>
    </xdr:to>
    <xdr:pic macro="[0]!Coordinator">
      <xdr:nvPicPr>
        <xdr:cNvPr id="16" name="Afbeelding 15" descr="CO">
          <a:extLst>
            <a:ext uri="{FF2B5EF4-FFF2-40B4-BE49-F238E27FC236}">
              <a16:creationId xmlns:a16="http://schemas.microsoft.com/office/drawing/2014/main" id="{00000000-0008-0000-0600-00001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7304840" y="1584960"/>
          <a:ext cx="425824" cy="426272"/>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8</xdr:row>
      <xdr:rowOff>0</xdr:rowOff>
    </xdr:from>
    <xdr:to>
      <xdr:col>143</xdr:col>
      <xdr:colOff>425825</xdr:colOff>
      <xdr:row>9</xdr:row>
      <xdr:rowOff>11208</xdr:rowOff>
    </xdr:to>
    <xdr:pic macro="[0]!Shaper">
      <xdr:nvPicPr>
        <xdr:cNvPr id="17" name="Afbeelding 16" descr="SH">
          <a:extLst>
            <a:ext uri="{FF2B5EF4-FFF2-40B4-BE49-F238E27FC236}">
              <a16:creationId xmlns:a16="http://schemas.microsoft.com/office/drawing/2014/main" id="{00000000-0008-0000-06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07316047" y="2049780"/>
          <a:ext cx="414618" cy="4150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10</xdr:row>
      <xdr:rowOff>0</xdr:rowOff>
    </xdr:from>
    <xdr:to>
      <xdr:col>143</xdr:col>
      <xdr:colOff>425825</xdr:colOff>
      <xdr:row>11</xdr:row>
      <xdr:rowOff>11206</xdr:rowOff>
    </xdr:to>
    <xdr:pic macro="[0]!Plant">
      <xdr:nvPicPr>
        <xdr:cNvPr id="18" name="Afbeelding 17" descr="PL">
          <a:extLst>
            <a:ext uri="{FF2B5EF4-FFF2-40B4-BE49-F238E27FC236}">
              <a16:creationId xmlns:a16="http://schemas.microsoft.com/office/drawing/2014/main" id="{00000000-0008-0000-0600-000012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07316047" y="2514600"/>
          <a:ext cx="414618" cy="415066"/>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12</xdr:row>
      <xdr:rowOff>0</xdr:rowOff>
    </xdr:from>
    <xdr:to>
      <xdr:col>143</xdr:col>
      <xdr:colOff>425825</xdr:colOff>
      <xdr:row>13</xdr:row>
      <xdr:rowOff>11206</xdr:rowOff>
    </xdr:to>
    <xdr:pic macro="[0]!Resource">
      <xdr:nvPicPr>
        <xdr:cNvPr id="19" name="Afbeelding 18" descr="RI">
          <a:extLst>
            <a:ext uri="{FF2B5EF4-FFF2-40B4-BE49-F238E27FC236}">
              <a16:creationId xmlns:a16="http://schemas.microsoft.com/office/drawing/2014/main" id="{00000000-0008-0000-0600-000013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07316047" y="2979420"/>
          <a:ext cx="414618" cy="4150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14</xdr:row>
      <xdr:rowOff>0</xdr:rowOff>
    </xdr:from>
    <xdr:to>
      <xdr:col>143</xdr:col>
      <xdr:colOff>425825</xdr:colOff>
      <xdr:row>15</xdr:row>
      <xdr:rowOff>11206</xdr:rowOff>
    </xdr:to>
    <xdr:pic macro="[0]!Monitor">
      <xdr:nvPicPr>
        <xdr:cNvPr id="20" name="Afbeelding 19" descr="ME">
          <a:extLst>
            <a:ext uri="{FF2B5EF4-FFF2-40B4-BE49-F238E27FC236}">
              <a16:creationId xmlns:a16="http://schemas.microsoft.com/office/drawing/2014/main" id="{00000000-0008-0000-0600-000014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07316047" y="3444240"/>
          <a:ext cx="414618" cy="415066"/>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16</xdr:row>
      <xdr:rowOff>0</xdr:rowOff>
    </xdr:from>
    <xdr:to>
      <xdr:col>143</xdr:col>
      <xdr:colOff>425825</xdr:colOff>
      <xdr:row>17</xdr:row>
      <xdr:rowOff>11206</xdr:rowOff>
    </xdr:to>
    <xdr:pic macro="[0]!TeamWorker">
      <xdr:nvPicPr>
        <xdr:cNvPr id="21" name="Afbeelding 20" descr="TW">
          <a:extLst>
            <a:ext uri="{FF2B5EF4-FFF2-40B4-BE49-F238E27FC236}">
              <a16:creationId xmlns:a16="http://schemas.microsoft.com/office/drawing/2014/main" id="{00000000-0008-0000-0600-000015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07316047" y="3909060"/>
          <a:ext cx="414618" cy="4150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18</xdr:row>
      <xdr:rowOff>0</xdr:rowOff>
    </xdr:from>
    <xdr:to>
      <xdr:col>143</xdr:col>
      <xdr:colOff>425825</xdr:colOff>
      <xdr:row>19</xdr:row>
      <xdr:rowOff>11206</xdr:rowOff>
    </xdr:to>
    <xdr:pic macro="[0]!Completer">
      <xdr:nvPicPr>
        <xdr:cNvPr id="22" name="Afbeelding 21" descr="CF">
          <a:extLst>
            <a:ext uri="{FF2B5EF4-FFF2-40B4-BE49-F238E27FC236}">
              <a16:creationId xmlns:a16="http://schemas.microsoft.com/office/drawing/2014/main" id="{00000000-0008-0000-06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7316047" y="4373880"/>
          <a:ext cx="414618" cy="4150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11208</xdr:colOff>
      <xdr:row>20</xdr:row>
      <xdr:rowOff>1</xdr:rowOff>
    </xdr:from>
    <xdr:to>
      <xdr:col>143</xdr:col>
      <xdr:colOff>425826</xdr:colOff>
      <xdr:row>21</xdr:row>
      <xdr:rowOff>11207</xdr:rowOff>
    </xdr:to>
    <xdr:pic macro="[0]!Specialist">
      <xdr:nvPicPr>
        <xdr:cNvPr id="23" name="Afbeelding 22" descr="SP">
          <a:extLst>
            <a:ext uri="{FF2B5EF4-FFF2-40B4-BE49-F238E27FC236}">
              <a16:creationId xmlns:a16="http://schemas.microsoft.com/office/drawing/2014/main" id="{00000000-0008-0000-0600-000017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07316048" y="4838701"/>
          <a:ext cx="414618" cy="4150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140</xdr:col>
      <xdr:colOff>1</xdr:colOff>
      <xdr:row>1</xdr:row>
      <xdr:rowOff>22412</xdr:rowOff>
    </xdr:from>
    <xdr:to>
      <xdr:col>141</xdr:col>
      <xdr:colOff>663388</xdr:colOff>
      <xdr:row>2</xdr:row>
      <xdr:rowOff>338295</xdr:rowOff>
    </xdr:to>
    <xdr:sp macro="[0]!ToStart" textlink="">
      <xdr:nvSpPr>
        <xdr:cNvPr id="24" name="Afgeronde rechthoek 23">
          <a:extLst>
            <a:ext uri="{FF2B5EF4-FFF2-40B4-BE49-F238E27FC236}">
              <a16:creationId xmlns:a16="http://schemas.microsoft.com/office/drawing/2014/main" id="{00000000-0008-0000-0600-000018000000}"/>
            </a:ext>
          </a:extLst>
        </xdr:cNvPr>
        <xdr:cNvSpPr/>
      </xdr:nvSpPr>
      <xdr:spPr>
        <a:xfrm>
          <a:off x="105049321" y="251012"/>
          <a:ext cx="1288227" cy="53686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200" b="0"/>
            <a:t>Back to Start</a:t>
          </a:r>
          <a:endParaRPr lang="nl-NL" sz="1000" b="0"/>
        </a:p>
      </xdr:txBody>
    </xdr:sp>
    <xdr:clientData fPrintsWithSheet="0"/>
  </xdr:twoCellAnchor>
  <xdr:twoCellAnchor>
    <xdr:from>
      <xdr:col>142</xdr:col>
      <xdr:colOff>481853</xdr:colOff>
      <xdr:row>1</xdr:row>
      <xdr:rowOff>0</xdr:rowOff>
    </xdr:from>
    <xdr:to>
      <xdr:col>144</xdr:col>
      <xdr:colOff>0</xdr:colOff>
      <xdr:row>2</xdr:row>
      <xdr:rowOff>315883</xdr:rowOff>
    </xdr:to>
    <xdr:sp macro="[0]!Printpreview" textlink="">
      <xdr:nvSpPr>
        <xdr:cNvPr id="25" name="Afgeronde rechthoek 24">
          <a:extLst>
            <a:ext uri="{FF2B5EF4-FFF2-40B4-BE49-F238E27FC236}">
              <a16:creationId xmlns:a16="http://schemas.microsoft.com/office/drawing/2014/main" id="{00000000-0008-0000-0600-000019000000}"/>
            </a:ext>
          </a:extLst>
        </xdr:cNvPr>
        <xdr:cNvSpPr/>
      </xdr:nvSpPr>
      <xdr:spPr>
        <a:xfrm>
          <a:off x="107161853" y="228600"/>
          <a:ext cx="600187" cy="53686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nl-NL" sz="2800">
              <a:sym typeface="Webdings"/>
            </a:rPr>
            <a:t></a:t>
          </a:r>
          <a:endParaRPr lang="nl-NL" sz="1100"/>
        </a:p>
      </xdr:txBody>
    </xdr:sp>
    <xdr:clientData fPrintsWithSheet="0"/>
  </xdr:twoCellAnchor>
  <xdr:twoCellAnchor>
    <xdr:from>
      <xdr:col>127</xdr:col>
      <xdr:colOff>35859</xdr:colOff>
      <xdr:row>25</xdr:row>
      <xdr:rowOff>188258</xdr:rowOff>
    </xdr:from>
    <xdr:to>
      <xdr:col>144</xdr:col>
      <xdr:colOff>0</xdr:colOff>
      <xdr:row>51</xdr:row>
      <xdr:rowOff>183777</xdr:rowOff>
    </xdr:to>
    <xdr:graphicFrame macro="">
      <xdr:nvGraphicFramePr>
        <xdr:cNvPr id="26" name="Grafiek 25">
          <a:extLst>
            <a:ext uri="{FF2B5EF4-FFF2-40B4-BE49-F238E27FC236}">
              <a16:creationId xmlns:a16="http://schemas.microsoft.com/office/drawing/2014/main" id="{00000000-0008-0000-06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140</xdr:col>
      <xdr:colOff>1</xdr:colOff>
      <xdr:row>22</xdr:row>
      <xdr:rowOff>143436</xdr:rowOff>
    </xdr:from>
    <xdr:ext cx="2716305" cy="609013"/>
    <xdr:sp macro="" textlink="">
      <xdr:nvSpPr>
        <xdr:cNvPr id="27" name="Tekstvak 26">
          <a:extLst>
            <a:ext uri="{FF2B5EF4-FFF2-40B4-BE49-F238E27FC236}">
              <a16:creationId xmlns:a16="http://schemas.microsoft.com/office/drawing/2014/main" id="{00000000-0008-0000-0600-00001B000000}"/>
            </a:ext>
          </a:extLst>
        </xdr:cNvPr>
        <xdr:cNvSpPr txBox="1"/>
      </xdr:nvSpPr>
      <xdr:spPr>
        <a:xfrm>
          <a:off x="105049321" y="5446956"/>
          <a:ext cx="2716305" cy="609013"/>
        </a:xfrm>
        <a:prstGeom prst="rect">
          <a:avLst/>
        </a:prstGeom>
        <a:solidFill>
          <a:schemeClr val="tx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nl-NL" sz="1100">
              <a:solidFill>
                <a:schemeClr val="bg1"/>
              </a:solidFill>
            </a:rPr>
            <a:t>Blue highlighted Roles are most applicable. By clicking on the icon, information about this role will be shown.</a:t>
          </a:r>
        </a:p>
      </xdr:txBody>
    </xdr:sp>
    <xdr:clientData fPrintsWithSheet="0"/>
  </xdr:oneCellAnchor>
  <xdr:twoCellAnchor editAs="oneCell">
    <xdr:from>
      <xdr:col>132</xdr:col>
      <xdr:colOff>1</xdr:colOff>
      <xdr:row>20</xdr:row>
      <xdr:rowOff>0</xdr:rowOff>
    </xdr:from>
    <xdr:to>
      <xdr:col>133</xdr:col>
      <xdr:colOff>1</xdr:colOff>
      <xdr:row>20</xdr:row>
      <xdr:rowOff>403411</xdr:rowOff>
    </xdr:to>
    <xdr:pic>
      <xdr:nvPicPr>
        <xdr:cNvPr id="28" name="Afbeelding 27" descr="PL">
          <a:extLst>
            <a:ext uri="{FF2B5EF4-FFF2-40B4-BE49-F238E27FC236}">
              <a16:creationId xmlns:a16="http://schemas.microsoft.com/office/drawing/2014/main" id="{00000000-0008-0000-0600-00001C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10183368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133</xdr:col>
      <xdr:colOff>1</xdr:colOff>
      <xdr:row>20</xdr:row>
      <xdr:rowOff>0</xdr:rowOff>
    </xdr:from>
    <xdr:to>
      <xdr:col>134</xdr:col>
      <xdr:colOff>1</xdr:colOff>
      <xdr:row>20</xdr:row>
      <xdr:rowOff>403411</xdr:rowOff>
    </xdr:to>
    <xdr:pic>
      <xdr:nvPicPr>
        <xdr:cNvPr id="29" name="Afbeelding 28" descr="RI">
          <a:extLst>
            <a:ext uri="{FF2B5EF4-FFF2-40B4-BE49-F238E27FC236}">
              <a16:creationId xmlns:a16="http://schemas.microsoft.com/office/drawing/2014/main" id="{00000000-0008-0000-0600-00001D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102161341"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130</xdr:col>
      <xdr:colOff>0</xdr:colOff>
      <xdr:row>20</xdr:row>
      <xdr:rowOff>0</xdr:rowOff>
    </xdr:from>
    <xdr:to>
      <xdr:col>131</xdr:col>
      <xdr:colOff>0</xdr:colOff>
      <xdr:row>20</xdr:row>
      <xdr:rowOff>403411</xdr:rowOff>
    </xdr:to>
    <xdr:pic>
      <xdr:nvPicPr>
        <xdr:cNvPr id="30" name="Afbeelding 29" descr="CO">
          <a:extLst>
            <a:ext uri="{FF2B5EF4-FFF2-40B4-BE49-F238E27FC236}">
              <a16:creationId xmlns:a16="http://schemas.microsoft.com/office/drawing/2014/main" id="{00000000-0008-0000-0600-00001E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101178360"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131</xdr:col>
      <xdr:colOff>1</xdr:colOff>
      <xdr:row>20</xdr:row>
      <xdr:rowOff>0</xdr:rowOff>
    </xdr:from>
    <xdr:to>
      <xdr:col>132</xdr:col>
      <xdr:colOff>1</xdr:colOff>
      <xdr:row>20</xdr:row>
      <xdr:rowOff>403411</xdr:rowOff>
    </xdr:to>
    <xdr:pic>
      <xdr:nvPicPr>
        <xdr:cNvPr id="31" name="Afbeelding 30" descr="SH">
          <a:extLst>
            <a:ext uri="{FF2B5EF4-FFF2-40B4-BE49-F238E27FC236}">
              <a16:creationId xmlns:a16="http://schemas.microsoft.com/office/drawing/2014/main" id="{00000000-0008-0000-0600-00001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101506021"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134</xdr:col>
      <xdr:colOff>1</xdr:colOff>
      <xdr:row>20</xdr:row>
      <xdr:rowOff>0</xdr:rowOff>
    </xdr:from>
    <xdr:to>
      <xdr:col>135</xdr:col>
      <xdr:colOff>1</xdr:colOff>
      <xdr:row>20</xdr:row>
      <xdr:rowOff>403411</xdr:rowOff>
    </xdr:to>
    <xdr:pic>
      <xdr:nvPicPr>
        <xdr:cNvPr id="32" name="Afbeelding 31" descr="ME">
          <a:extLst>
            <a:ext uri="{FF2B5EF4-FFF2-40B4-BE49-F238E27FC236}">
              <a16:creationId xmlns:a16="http://schemas.microsoft.com/office/drawing/2014/main" id="{00000000-0008-0000-0600-000020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10248900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135</xdr:col>
      <xdr:colOff>0</xdr:colOff>
      <xdr:row>20</xdr:row>
      <xdr:rowOff>0</xdr:rowOff>
    </xdr:from>
    <xdr:to>
      <xdr:col>136</xdr:col>
      <xdr:colOff>0</xdr:colOff>
      <xdr:row>20</xdr:row>
      <xdr:rowOff>403411</xdr:rowOff>
    </xdr:to>
    <xdr:pic>
      <xdr:nvPicPr>
        <xdr:cNvPr id="33" name="Afbeelding 32" descr="TW">
          <a:extLst>
            <a:ext uri="{FF2B5EF4-FFF2-40B4-BE49-F238E27FC236}">
              <a16:creationId xmlns:a16="http://schemas.microsoft.com/office/drawing/2014/main" id="{00000000-0008-0000-0600-000021000000}"/>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102816660"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129</xdr:col>
      <xdr:colOff>1</xdr:colOff>
      <xdr:row>20</xdr:row>
      <xdr:rowOff>0</xdr:rowOff>
    </xdr:from>
    <xdr:to>
      <xdr:col>130</xdr:col>
      <xdr:colOff>1</xdr:colOff>
      <xdr:row>20</xdr:row>
      <xdr:rowOff>403411</xdr:rowOff>
    </xdr:to>
    <xdr:pic>
      <xdr:nvPicPr>
        <xdr:cNvPr id="34" name="Afbeelding 33" descr="IMP">
          <a:extLst>
            <a:ext uri="{FF2B5EF4-FFF2-40B4-BE49-F238E27FC236}">
              <a16:creationId xmlns:a16="http://schemas.microsoft.com/office/drawing/2014/main" id="{00000000-0008-0000-0600-000022000000}"/>
            </a:ext>
          </a:extLst>
        </xdr:cNvPr>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10085070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136</xdr:col>
      <xdr:colOff>1</xdr:colOff>
      <xdr:row>20</xdr:row>
      <xdr:rowOff>0</xdr:rowOff>
    </xdr:from>
    <xdr:to>
      <xdr:col>137</xdr:col>
      <xdr:colOff>1</xdr:colOff>
      <xdr:row>20</xdr:row>
      <xdr:rowOff>403411</xdr:rowOff>
    </xdr:to>
    <xdr:pic>
      <xdr:nvPicPr>
        <xdr:cNvPr id="35" name="Afbeelding 34" descr="CF">
          <a:extLst>
            <a:ext uri="{FF2B5EF4-FFF2-40B4-BE49-F238E27FC236}">
              <a16:creationId xmlns:a16="http://schemas.microsoft.com/office/drawing/2014/main" id="{00000000-0008-0000-0600-000023000000}"/>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103144321"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137</xdr:col>
      <xdr:colOff>1</xdr:colOff>
      <xdr:row>20</xdr:row>
      <xdr:rowOff>0</xdr:rowOff>
    </xdr:from>
    <xdr:to>
      <xdr:col>138</xdr:col>
      <xdr:colOff>1</xdr:colOff>
      <xdr:row>20</xdr:row>
      <xdr:rowOff>403411</xdr:rowOff>
    </xdr:to>
    <xdr:pic>
      <xdr:nvPicPr>
        <xdr:cNvPr id="36" name="Afbeelding 35" descr="SP">
          <a:extLst>
            <a:ext uri="{FF2B5EF4-FFF2-40B4-BE49-F238E27FC236}">
              <a16:creationId xmlns:a16="http://schemas.microsoft.com/office/drawing/2014/main" id="{00000000-0008-0000-0600-000024000000}"/>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10347198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5</xdr:col>
      <xdr:colOff>537879</xdr:colOff>
      <xdr:row>20</xdr:row>
      <xdr:rowOff>8965</xdr:rowOff>
    </xdr:from>
    <xdr:to>
      <xdr:col>7</xdr:col>
      <xdr:colOff>573737</xdr:colOff>
      <xdr:row>22</xdr:row>
      <xdr:rowOff>11083</xdr:rowOff>
    </xdr:to>
    <xdr:sp macro="[0]!ToStart" textlink="">
      <xdr:nvSpPr>
        <xdr:cNvPr id="37" name="Afgeronde rechthoek 36">
          <a:extLst>
            <a:ext uri="{FF2B5EF4-FFF2-40B4-BE49-F238E27FC236}">
              <a16:creationId xmlns:a16="http://schemas.microsoft.com/office/drawing/2014/main" id="{00000000-0008-0000-0600-000025000000}"/>
            </a:ext>
          </a:extLst>
        </xdr:cNvPr>
        <xdr:cNvSpPr/>
      </xdr:nvSpPr>
      <xdr:spPr>
        <a:xfrm>
          <a:off x="6615950" y="4858871"/>
          <a:ext cx="1290916" cy="46828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200" b="0"/>
            <a:t>Back to Start</a:t>
          </a:r>
          <a:endParaRPr lang="nl-NL" sz="1000" b="0"/>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25</xdr:col>
      <xdr:colOff>609600</xdr:colOff>
      <xdr:row>19</xdr:row>
      <xdr:rowOff>45720</xdr:rowOff>
    </xdr:from>
    <xdr:to>
      <xdr:col>27</xdr:col>
      <xdr:colOff>617220</xdr:colOff>
      <xdr:row>21</xdr:row>
      <xdr:rowOff>45720</xdr:rowOff>
    </xdr:to>
    <xdr:sp macro="[0]!NextSection" textlink="">
      <xdr:nvSpPr>
        <xdr:cNvPr id="2" name="Vijfhoek 1">
          <a:extLst>
            <a:ext uri="{FF2B5EF4-FFF2-40B4-BE49-F238E27FC236}">
              <a16:creationId xmlns:a16="http://schemas.microsoft.com/office/drawing/2014/main" id="{00000000-0008-0000-0700-000002000000}"/>
            </a:ext>
          </a:extLst>
        </xdr:cNvPr>
        <xdr:cNvSpPr/>
      </xdr:nvSpPr>
      <xdr:spPr>
        <a:xfrm>
          <a:off x="21564600" y="4770120"/>
          <a:ext cx="1217295" cy="45720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44</xdr:col>
      <xdr:colOff>0</xdr:colOff>
      <xdr:row>20</xdr:row>
      <xdr:rowOff>0</xdr:rowOff>
    </xdr:from>
    <xdr:to>
      <xdr:col>46</xdr:col>
      <xdr:colOff>0</xdr:colOff>
      <xdr:row>22</xdr:row>
      <xdr:rowOff>0</xdr:rowOff>
    </xdr:to>
    <xdr:sp macro="[0]!NextSection" textlink="">
      <xdr:nvSpPr>
        <xdr:cNvPr id="3" name="Vijfhoek 2">
          <a:extLst>
            <a:ext uri="{FF2B5EF4-FFF2-40B4-BE49-F238E27FC236}">
              <a16:creationId xmlns:a16="http://schemas.microsoft.com/office/drawing/2014/main" id="{00000000-0008-0000-0700-000003000000}"/>
            </a:ext>
          </a:extLst>
        </xdr:cNvPr>
        <xdr:cNvSpPr/>
      </xdr:nvSpPr>
      <xdr:spPr>
        <a:xfrm>
          <a:off x="35394900" y="4781550"/>
          <a:ext cx="1219200" cy="45720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42</xdr:col>
      <xdr:colOff>0</xdr:colOff>
      <xdr:row>20</xdr:row>
      <xdr:rowOff>0</xdr:rowOff>
    </xdr:from>
    <xdr:to>
      <xdr:col>44</xdr:col>
      <xdr:colOff>0</xdr:colOff>
      <xdr:row>22</xdr:row>
      <xdr:rowOff>0</xdr:rowOff>
    </xdr:to>
    <xdr:sp macro="[0]!SectionBack" textlink="">
      <xdr:nvSpPr>
        <xdr:cNvPr id="4" name="Vijfhoek 3">
          <a:extLst>
            <a:ext uri="{FF2B5EF4-FFF2-40B4-BE49-F238E27FC236}">
              <a16:creationId xmlns:a16="http://schemas.microsoft.com/office/drawing/2014/main" id="{00000000-0008-0000-0700-000004000000}"/>
            </a:ext>
          </a:extLst>
        </xdr:cNvPr>
        <xdr:cNvSpPr/>
      </xdr:nvSpPr>
      <xdr:spPr>
        <a:xfrm flipH="1">
          <a:off x="34175700" y="4781550"/>
          <a:ext cx="1219200" cy="45720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24</xdr:col>
      <xdr:colOff>0</xdr:colOff>
      <xdr:row>19</xdr:row>
      <xdr:rowOff>45720</xdr:rowOff>
    </xdr:from>
    <xdr:to>
      <xdr:col>26</xdr:col>
      <xdr:colOff>0</xdr:colOff>
      <xdr:row>21</xdr:row>
      <xdr:rowOff>45720</xdr:rowOff>
    </xdr:to>
    <xdr:sp macro="[0]!SectionBack" textlink="">
      <xdr:nvSpPr>
        <xdr:cNvPr id="5" name="Vijfhoek 4">
          <a:extLst>
            <a:ext uri="{FF2B5EF4-FFF2-40B4-BE49-F238E27FC236}">
              <a16:creationId xmlns:a16="http://schemas.microsoft.com/office/drawing/2014/main" id="{00000000-0008-0000-0700-000005000000}"/>
            </a:ext>
          </a:extLst>
        </xdr:cNvPr>
        <xdr:cNvSpPr/>
      </xdr:nvSpPr>
      <xdr:spPr>
        <a:xfrm flipH="1">
          <a:off x="20345400" y="4770120"/>
          <a:ext cx="1219200" cy="45720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60</xdr:col>
      <xdr:colOff>0</xdr:colOff>
      <xdr:row>20</xdr:row>
      <xdr:rowOff>0</xdr:rowOff>
    </xdr:from>
    <xdr:to>
      <xdr:col>62</xdr:col>
      <xdr:colOff>0</xdr:colOff>
      <xdr:row>22</xdr:row>
      <xdr:rowOff>0</xdr:rowOff>
    </xdr:to>
    <xdr:sp macro="[0]!SectionBack" textlink="">
      <xdr:nvSpPr>
        <xdr:cNvPr id="6" name="Vijfhoek 5">
          <a:extLst>
            <a:ext uri="{FF2B5EF4-FFF2-40B4-BE49-F238E27FC236}">
              <a16:creationId xmlns:a16="http://schemas.microsoft.com/office/drawing/2014/main" id="{00000000-0008-0000-0700-000006000000}"/>
            </a:ext>
          </a:extLst>
        </xdr:cNvPr>
        <xdr:cNvSpPr/>
      </xdr:nvSpPr>
      <xdr:spPr>
        <a:xfrm flipH="1">
          <a:off x="48006000" y="4781550"/>
          <a:ext cx="1219200" cy="45720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79</xdr:col>
      <xdr:colOff>617220</xdr:colOff>
      <xdr:row>20</xdr:row>
      <xdr:rowOff>0</xdr:rowOff>
    </xdr:from>
    <xdr:to>
      <xdr:col>82</xdr:col>
      <xdr:colOff>0</xdr:colOff>
      <xdr:row>22</xdr:row>
      <xdr:rowOff>0</xdr:rowOff>
    </xdr:to>
    <xdr:sp macro="[0]!NextSection" textlink="">
      <xdr:nvSpPr>
        <xdr:cNvPr id="7" name="Vijfhoek 6">
          <a:extLst>
            <a:ext uri="{FF2B5EF4-FFF2-40B4-BE49-F238E27FC236}">
              <a16:creationId xmlns:a16="http://schemas.microsoft.com/office/drawing/2014/main" id="{00000000-0008-0000-0700-000007000000}"/>
            </a:ext>
          </a:extLst>
        </xdr:cNvPr>
        <xdr:cNvSpPr/>
      </xdr:nvSpPr>
      <xdr:spPr>
        <a:xfrm>
          <a:off x="63053595" y="4781550"/>
          <a:ext cx="1221105" cy="45720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98</xdr:col>
      <xdr:colOff>0</xdr:colOff>
      <xdr:row>20</xdr:row>
      <xdr:rowOff>0</xdr:rowOff>
    </xdr:from>
    <xdr:to>
      <xdr:col>100</xdr:col>
      <xdr:colOff>7620</xdr:colOff>
      <xdr:row>22</xdr:row>
      <xdr:rowOff>0</xdr:rowOff>
    </xdr:to>
    <xdr:sp macro="[0]!NextSection" textlink="">
      <xdr:nvSpPr>
        <xdr:cNvPr id="8" name="Vijfhoek 7">
          <a:extLst>
            <a:ext uri="{FF2B5EF4-FFF2-40B4-BE49-F238E27FC236}">
              <a16:creationId xmlns:a16="http://schemas.microsoft.com/office/drawing/2014/main" id="{00000000-0008-0000-0700-000008000000}"/>
            </a:ext>
          </a:extLst>
        </xdr:cNvPr>
        <xdr:cNvSpPr/>
      </xdr:nvSpPr>
      <xdr:spPr>
        <a:xfrm>
          <a:off x="76885800" y="4781550"/>
          <a:ext cx="1226820" cy="45720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116</xdr:col>
      <xdr:colOff>0</xdr:colOff>
      <xdr:row>20</xdr:row>
      <xdr:rowOff>0</xdr:rowOff>
    </xdr:from>
    <xdr:to>
      <xdr:col>118</xdr:col>
      <xdr:colOff>7620</xdr:colOff>
      <xdr:row>22</xdr:row>
      <xdr:rowOff>0</xdr:rowOff>
    </xdr:to>
    <xdr:sp macro="[0]!NextSection" textlink="">
      <xdr:nvSpPr>
        <xdr:cNvPr id="9" name="Vijfhoek 8">
          <a:extLst>
            <a:ext uri="{FF2B5EF4-FFF2-40B4-BE49-F238E27FC236}">
              <a16:creationId xmlns:a16="http://schemas.microsoft.com/office/drawing/2014/main" id="{00000000-0008-0000-0700-000009000000}"/>
            </a:ext>
          </a:extLst>
        </xdr:cNvPr>
        <xdr:cNvSpPr/>
      </xdr:nvSpPr>
      <xdr:spPr>
        <a:xfrm>
          <a:off x="90716100" y="4781550"/>
          <a:ext cx="1226820" cy="45720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62</xdr:col>
      <xdr:colOff>0</xdr:colOff>
      <xdr:row>20</xdr:row>
      <xdr:rowOff>0</xdr:rowOff>
    </xdr:from>
    <xdr:to>
      <xdr:col>64</xdr:col>
      <xdr:colOff>7620</xdr:colOff>
      <xdr:row>22</xdr:row>
      <xdr:rowOff>0</xdr:rowOff>
    </xdr:to>
    <xdr:sp macro="[0]!NextSection" textlink="">
      <xdr:nvSpPr>
        <xdr:cNvPr id="10" name="Vijfhoek 9">
          <a:extLst>
            <a:ext uri="{FF2B5EF4-FFF2-40B4-BE49-F238E27FC236}">
              <a16:creationId xmlns:a16="http://schemas.microsoft.com/office/drawing/2014/main" id="{00000000-0008-0000-0700-00000A000000}"/>
            </a:ext>
          </a:extLst>
        </xdr:cNvPr>
        <xdr:cNvSpPr/>
      </xdr:nvSpPr>
      <xdr:spPr>
        <a:xfrm>
          <a:off x="49225200" y="4781550"/>
          <a:ext cx="1226820" cy="45720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8</xdr:col>
      <xdr:colOff>0</xdr:colOff>
      <xdr:row>20</xdr:row>
      <xdr:rowOff>0</xdr:rowOff>
    </xdr:from>
    <xdr:to>
      <xdr:col>10</xdr:col>
      <xdr:colOff>0</xdr:colOff>
      <xdr:row>22</xdr:row>
      <xdr:rowOff>0</xdr:rowOff>
    </xdr:to>
    <xdr:sp macro="[0]!NextSection" textlink="">
      <xdr:nvSpPr>
        <xdr:cNvPr id="11" name="Vijfhoek 10">
          <a:extLst>
            <a:ext uri="{FF2B5EF4-FFF2-40B4-BE49-F238E27FC236}">
              <a16:creationId xmlns:a16="http://schemas.microsoft.com/office/drawing/2014/main" id="{00000000-0008-0000-0700-00000B000000}"/>
            </a:ext>
          </a:extLst>
        </xdr:cNvPr>
        <xdr:cNvSpPr/>
      </xdr:nvSpPr>
      <xdr:spPr>
        <a:xfrm>
          <a:off x="7734300" y="4781550"/>
          <a:ext cx="1219200" cy="45720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78</xdr:col>
      <xdr:colOff>0</xdr:colOff>
      <xdr:row>20</xdr:row>
      <xdr:rowOff>0</xdr:rowOff>
    </xdr:from>
    <xdr:to>
      <xdr:col>80</xdr:col>
      <xdr:colOff>0</xdr:colOff>
      <xdr:row>22</xdr:row>
      <xdr:rowOff>0</xdr:rowOff>
    </xdr:to>
    <xdr:sp macro="[0]!SectionBack" textlink="">
      <xdr:nvSpPr>
        <xdr:cNvPr id="12" name="Vijfhoek 11">
          <a:extLst>
            <a:ext uri="{FF2B5EF4-FFF2-40B4-BE49-F238E27FC236}">
              <a16:creationId xmlns:a16="http://schemas.microsoft.com/office/drawing/2014/main" id="{00000000-0008-0000-0700-00000C000000}"/>
            </a:ext>
          </a:extLst>
        </xdr:cNvPr>
        <xdr:cNvSpPr/>
      </xdr:nvSpPr>
      <xdr:spPr>
        <a:xfrm flipH="1">
          <a:off x="61836300" y="4781550"/>
          <a:ext cx="1219200" cy="45720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96</xdr:col>
      <xdr:colOff>0</xdr:colOff>
      <xdr:row>20</xdr:row>
      <xdr:rowOff>0</xdr:rowOff>
    </xdr:from>
    <xdr:to>
      <xdr:col>98</xdr:col>
      <xdr:colOff>0</xdr:colOff>
      <xdr:row>22</xdr:row>
      <xdr:rowOff>0</xdr:rowOff>
    </xdr:to>
    <xdr:sp macro="[0]!SectionBack" textlink="">
      <xdr:nvSpPr>
        <xdr:cNvPr id="13" name="Vijfhoek 12">
          <a:extLst>
            <a:ext uri="{FF2B5EF4-FFF2-40B4-BE49-F238E27FC236}">
              <a16:creationId xmlns:a16="http://schemas.microsoft.com/office/drawing/2014/main" id="{00000000-0008-0000-0700-00000D000000}"/>
            </a:ext>
          </a:extLst>
        </xdr:cNvPr>
        <xdr:cNvSpPr/>
      </xdr:nvSpPr>
      <xdr:spPr>
        <a:xfrm flipH="1">
          <a:off x="75666600" y="4781550"/>
          <a:ext cx="1219200" cy="45720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114</xdr:col>
      <xdr:colOff>0</xdr:colOff>
      <xdr:row>20</xdr:row>
      <xdr:rowOff>0</xdr:rowOff>
    </xdr:from>
    <xdr:to>
      <xdr:col>116</xdr:col>
      <xdr:colOff>0</xdr:colOff>
      <xdr:row>22</xdr:row>
      <xdr:rowOff>0</xdr:rowOff>
    </xdr:to>
    <xdr:sp macro="[0]!SectionBack" textlink="">
      <xdr:nvSpPr>
        <xdr:cNvPr id="14" name="Vijfhoek 13">
          <a:extLst>
            <a:ext uri="{FF2B5EF4-FFF2-40B4-BE49-F238E27FC236}">
              <a16:creationId xmlns:a16="http://schemas.microsoft.com/office/drawing/2014/main" id="{00000000-0008-0000-0700-00000E000000}"/>
            </a:ext>
          </a:extLst>
        </xdr:cNvPr>
        <xdr:cNvSpPr/>
      </xdr:nvSpPr>
      <xdr:spPr>
        <a:xfrm flipH="1">
          <a:off x="89496900" y="4781550"/>
          <a:ext cx="1219200" cy="45720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editAs="oneCell">
    <xdr:from>
      <xdr:col>143</xdr:col>
      <xdr:colOff>11207</xdr:colOff>
      <xdr:row>4</xdr:row>
      <xdr:rowOff>8965</xdr:rowOff>
    </xdr:from>
    <xdr:to>
      <xdr:col>143</xdr:col>
      <xdr:colOff>425824</xdr:colOff>
      <xdr:row>5</xdr:row>
      <xdr:rowOff>20170</xdr:rowOff>
    </xdr:to>
    <xdr:pic macro="[0]!implementor">
      <xdr:nvPicPr>
        <xdr:cNvPr id="15" name="Afbeelding 14" descr="CF">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7650431" y="1138518"/>
          <a:ext cx="414617" cy="4146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0</xdr:colOff>
      <xdr:row>6</xdr:row>
      <xdr:rowOff>0</xdr:rowOff>
    </xdr:from>
    <xdr:to>
      <xdr:col>143</xdr:col>
      <xdr:colOff>425824</xdr:colOff>
      <xdr:row>7</xdr:row>
      <xdr:rowOff>22412</xdr:rowOff>
    </xdr:to>
    <xdr:pic macro="[0]!Coordinator">
      <xdr:nvPicPr>
        <xdr:cNvPr id="16" name="Afbeelding 15" descr="CO">
          <a:extLst>
            <a:ext uri="{FF2B5EF4-FFF2-40B4-BE49-F238E27FC236}">
              <a16:creationId xmlns:a16="http://schemas.microsoft.com/office/drawing/2014/main" id="{00000000-0008-0000-0700-00001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7027382" y="1580029"/>
          <a:ext cx="425824" cy="425824"/>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8</xdr:row>
      <xdr:rowOff>0</xdr:rowOff>
    </xdr:from>
    <xdr:to>
      <xdr:col>143</xdr:col>
      <xdr:colOff>425825</xdr:colOff>
      <xdr:row>9</xdr:row>
      <xdr:rowOff>11207</xdr:rowOff>
    </xdr:to>
    <xdr:pic macro="[0]!Shaper">
      <xdr:nvPicPr>
        <xdr:cNvPr id="17" name="Afbeelding 16" descr="SH">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07038589" y="2039471"/>
          <a:ext cx="414618" cy="4146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10</xdr:row>
      <xdr:rowOff>0</xdr:rowOff>
    </xdr:from>
    <xdr:to>
      <xdr:col>143</xdr:col>
      <xdr:colOff>425825</xdr:colOff>
      <xdr:row>11</xdr:row>
      <xdr:rowOff>11206</xdr:rowOff>
    </xdr:to>
    <xdr:pic macro="[0]!Plant">
      <xdr:nvPicPr>
        <xdr:cNvPr id="18" name="Afbeelding 17" descr="PL">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07038589" y="2498912"/>
          <a:ext cx="414618" cy="414618"/>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12</xdr:row>
      <xdr:rowOff>0</xdr:rowOff>
    </xdr:from>
    <xdr:to>
      <xdr:col>143</xdr:col>
      <xdr:colOff>425825</xdr:colOff>
      <xdr:row>13</xdr:row>
      <xdr:rowOff>11206</xdr:rowOff>
    </xdr:to>
    <xdr:pic macro="[0]!Resource">
      <xdr:nvPicPr>
        <xdr:cNvPr id="19" name="Afbeelding 18" descr="RI">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07038589" y="2958353"/>
          <a:ext cx="414618" cy="4146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14</xdr:row>
      <xdr:rowOff>0</xdr:rowOff>
    </xdr:from>
    <xdr:to>
      <xdr:col>143</xdr:col>
      <xdr:colOff>425825</xdr:colOff>
      <xdr:row>15</xdr:row>
      <xdr:rowOff>11206</xdr:rowOff>
    </xdr:to>
    <xdr:pic macro="[0]!Monitor">
      <xdr:nvPicPr>
        <xdr:cNvPr id="20" name="Afbeelding 19" descr="ME">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07038589" y="3417794"/>
          <a:ext cx="414618" cy="414618"/>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16</xdr:row>
      <xdr:rowOff>0</xdr:rowOff>
    </xdr:from>
    <xdr:to>
      <xdr:col>143</xdr:col>
      <xdr:colOff>425825</xdr:colOff>
      <xdr:row>17</xdr:row>
      <xdr:rowOff>11206</xdr:rowOff>
    </xdr:to>
    <xdr:pic macro="[0]!TeamWorker">
      <xdr:nvPicPr>
        <xdr:cNvPr id="21" name="Afbeelding 20" descr="TW">
          <a:extLst>
            <a:ext uri="{FF2B5EF4-FFF2-40B4-BE49-F238E27FC236}">
              <a16:creationId xmlns:a16="http://schemas.microsoft.com/office/drawing/2014/main" id="{00000000-0008-0000-0700-000015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07038589" y="3877235"/>
          <a:ext cx="414618" cy="4146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18</xdr:row>
      <xdr:rowOff>0</xdr:rowOff>
    </xdr:from>
    <xdr:to>
      <xdr:col>143</xdr:col>
      <xdr:colOff>425825</xdr:colOff>
      <xdr:row>19</xdr:row>
      <xdr:rowOff>11206</xdr:rowOff>
    </xdr:to>
    <xdr:pic macro="[0]!Completer">
      <xdr:nvPicPr>
        <xdr:cNvPr id="22" name="Afbeelding 21" descr="CF">
          <a:extLst>
            <a:ext uri="{FF2B5EF4-FFF2-40B4-BE49-F238E27FC236}">
              <a16:creationId xmlns:a16="http://schemas.microsoft.com/office/drawing/2014/main" id="{00000000-0008-0000-07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7038589" y="4336676"/>
          <a:ext cx="414618" cy="4146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11208</xdr:colOff>
      <xdr:row>20</xdr:row>
      <xdr:rowOff>1</xdr:rowOff>
    </xdr:from>
    <xdr:to>
      <xdr:col>143</xdr:col>
      <xdr:colOff>425826</xdr:colOff>
      <xdr:row>21</xdr:row>
      <xdr:rowOff>11208</xdr:rowOff>
    </xdr:to>
    <xdr:pic macro="[0]!Specialist">
      <xdr:nvPicPr>
        <xdr:cNvPr id="23" name="Afbeelding 22" descr="SP">
          <a:extLst>
            <a:ext uri="{FF2B5EF4-FFF2-40B4-BE49-F238E27FC236}">
              <a16:creationId xmlns:a16="http://schemas.microsoft.com/office/drawing/2014/main" id="{00000000-0008-0000-0700-000017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07038590" y="4796119"/>
          <a:ext cx="414618" cy="4146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140</xdr:col>
      <xdr:colOff>1</xdr:colOff>
      <xdr:row>1</xdr:row>
      <xdr:rowOff>22412</xdr:rowOff>
    </xdr:from>
    <xdr:to>
      <xdr:col>141</xdr:col>
      <xdr:colOff>663388</xdr:colOff>
      <xdr:row>2</xdr:row>
      <xdr:rowOff>338295</xdr:rowOff>
    </xdr:to>
    <xdr:sp macro="[0]!ToStart" textlink="">
      <xdr:nvSpPr>
        <xdr:cNvPr id="25" name="Afgeronde rechthoek 24">
          <a:extLst>
            <a:ext uri="{FF2B5EF4-FFF2-40B4-BE49-F238E27FC236}">
              <a16:creationId xmlns:a16="http://schemas.microsoft.com/office/drawing/2014/main" id="{00000000-0008-0000-0700-000019000000}"/>
            </a:ext>
          </a:extLst>
        </xdr:cNvPr>
        <xdr:cNvSpPr/>
      </xdr:nvSpPr>
      <xdr:spPr>
        <a:xfrm>
          <a:off x="105380119" y="255494"/>
          <a:ext cx="1290916" cy="540001"/>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200" b="0"/>
            <a:t>Back to Start</a:t>
          </a:r>
          <a:endParaRPr lang="nl-NL" sz="1000" b="0"/>
        </a:p>
      </xdr:txBody>
    </xdr:sp>
    <xdr:clientData fPrintsWithSheet="0"/>
  </xdr:twoCellAnchor>
  <xdr:twoCellAnchor>
    <xdr:from>
      <xdr:col>142</xdr:col>
      <xdr:colOff>481853</xdr:colOff>
      <xdr:row>1</xdr:row>
      <xdr:rowOff>0</xdr:rowOff>
    </xdr:from>
    <xdr:to>
      <xdr:col>144</xdr:col>
      <xdr:colOff>0</xdr:colOff>
      <xdr:row>2</xdr:row>
      <xdr:rowOff>315883</xdr:rowOff>
    </xdr:to>
    <xdr:sp macro="[0]!Printpreview" textlink="">
      <xdr:nvSpPr>
        <xdr:cNvPr id="26" name="Afgeronde rechthoek 25">
          <a:extLst>
            <a:ext uri="{FF2B5EF4-FFF2-40B4-BE49-F238E27FC236}">
              <a16:creationId xmlns:a16="http://schemas.microsoft.com/office/drawing/2014/main" id="{00000000-0008-0000-0700-00001A000000}"/>
            </a:ext>
          </a:extLst>
        </xdr:cNvPr>
        <xdr:cNvSpPr/>
      </xdr:nvSpPr>
      <xdr:spPr>
        <a:xfrm>
          <a:off x="107150647" y="224118"/>
          <a:ext cx="571500" cy="540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nl-NL" sz="2800">
              <a:sym typeface="Webdings"/>
            </a:rPr>
            <a:t></a:t>
          </a:r>
          <a:endParaRPr lang="nl-NL" sz="1100"/>
        </a:p>
      </xdr:txBody>
    </xdr:sp>
    <xdr:clientData fPrintsWithSheet="0"/>
  </xdr:twoCellAnchor>
  <xdr:twoCellAnchor>
    <xdr:from>
      <xdr:col>127</xdr:col>
      <xdr:colOff>35859</xdr:colOff>
      <xdr:row>25</xdr:row>
      <xdr:rowOff>188258</xdr:rowOff>
    </xdr:from>
    <xdr:to>
      <xdr:col>144</xdr:col>
      <xdr:colOff>0</xdr:colOff>
      <xdr:row>51</xdr:row>
      <xdr:rowOff>183777</xdr:rowOff>
    </xdr:to>
    <xdr:graphicFrame macro="">
      <xdr:nvGraphicFramePr>
        <xdr:cNvPr id="27" name="Grafiek 26">
          <a:extLst>
            <a:ext uri="{FF2B5EF4-FFF2-40B4-BE49-F238E27FC236}">
              <a16:creationId xmlns:a16="http://schemas.microsoft.com/office/drawing/2014/main" id="{00000000-0008-0000-07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140</xdr:col>
      <xdr:colOff>1</xdr:colOff>
      <xdr:row>22</xdr:row>
      <xdr:rowOff>143436</xdr:rowOff>
    </xdr:from>
    <xdr:ext cx="2716305" cy="609013"/>
    <xdr:sp macro="" textlink="">
      <xdr:nvSpPr>
        <xdr:cNvPr id="24" name="Tekstvak 23">
          <a:extLst>
            <a:ext uri="{FF2B5EF4-FFF2-40B4-BE49-F238E27FC236}">
              <a16:creationId xmlns:a16="http://schemas.microsoft.com/office/drawing/2014/main" id="{00000000-0008-0000-0700-000018000000}"/>
            </a:ext>
          </a:extLst>
        </xdr:cNvPr>
        <xdr:cNvSpPr txBox="1"/>
      </xdr:nvSpPr>
      <xdr:spPr>
        <a:xfrm>
          <a:off x="105380119" y="5468471"/>
          <a:ext cx="2716305" cy="609013"/>
        </a:xfrm>
        <a:prstGeom prst="rect">
          <a:avLst/>
        </a:prstGeom>
        <a:solidFill>
          <a:schemeClr val="tx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nl-NL" sz="1100">
              <a:solidFill>
                <a:schemeClr val="bg1"/>
              </a:solidFill>
            </a:rPr>
            <a:t>Blue highlighted Roles are most applicable. By clicking on the icon, information about this role will be shown.</a:t>
          </a:r>
        </a:p>
      </xdr:txBody>
    </xdr:sp>
    <xdr:clientData fPrintsWithSheet="0"/>
  </xdr:oneCellAnchor>
  <xdr:twoCellAnchor editAs="oneCell">
    <xdr:from>
      <xdr:col>132</xdr:col>
      <xdr:colOff>1</xdr:colOff>
      <xdr:row>20</xdr:row>
      <xdr:rowOff>0</xdr:rowOff>
    </xdr:from>
    <xdr:to>
      <xdr:col>133</xdr:col>
      <xdr:colOff>1</xdr:colOff>
      <xdr:row>21</xdr:row>
      <xdr:rowOff>0</xdr:rowOff>
    </xdr:to>
    <xdr:pic>
      <xdr:nvPicPr>
        <xdr:cNvPr id="32" name="Afbeelding 31" descr="PL">
          <a:extLst>
            <a:ext uri="{FF2B5EF4-FFF2-40B4-BE49-F238E27FC236}">
              <a16:creationId xmlns:a16="http://schemas.microsoft.com/office/drawing/2014/main" id="{00000000-0008-0000-0700-000020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102134895" y="4858871"/>
          <a:ext cx="331694" cy="403411"/>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133</xdr:col>
      <xdr:colOff>1</xdr:colOff>
      <xdr:row>20</xdr:row>
      <xdr:rowOff>0</xdr:rowOff>
    </xdr:from>
    <xdr:to>
      <xdr:col>134</xdr:col>
      <xdr:colOff>1</xdr:colOff>
      <xdr:row>21</xdr:row>
      <xdr:rowOff>0</xdr:rowOff>
    </xdr:to>
    <xdr:pic>
      <xdr:nvPicPr>
        <xdr:cNvPr id="33" name="Afbeelding 32" descr="RI">
          <a:extLst>
            <a:ext uri="{FF2B5EF4-FFF2-40B4-BE49-F238E27FC236}">
              <a16:creationId xmlns:a16="http://schemas.microsoft.com/office/drawing/2014/main" id="{00000000-0008-0000-0700-000021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102466589" y="4858871"/>
          <a:ext cx="331694" cy="4034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130</xdr:col>
      <xdr:colOff>0</xdr:colOff>
      <xdr:row>20</xdr:row>
      <xdr:rowOff>0</xdr:rowOff>
    </xdr:from>
    <xdr:to>
      <xdr:col>131</xdr:col>
      <xdr:colOff>0</xdr:colOff>
      <xdr:row>21</xdr:row>
      <xdr:rowOff>0</xdr:rowOff>
    </xdr:to>
    <xdr:pic>
      <xdr:nvPicPr>
        <xdr:cNvPr id="34" name="Afbeelding 33" descr="CO">
          <a:extLst>
            <a:ext uri="{FF2B5EF4-FFF2-40B4-BE49-F238E27FC236}">
              <a16:creationId xmlns:a16="http://schemas.microsoft.com/office/drawing/2014/main" id="{00000000-0008-0000-0700-000022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101471506" y="4858871"/>
          <a:ext cx="331694" cy="403411"/>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131</xdr:col>
      <xdr:colOff>1</xdr:colOff>
      <xdr:row>20</xdr:row>
      <xdr:rowOff>0</xdr:rowOff>
    </xdr:from>
    <xdr:to>
      <xdr:col>132</xdr:col>
      <xdr:colOff>1</xdr:colOff>
      <xdr:row>21</xdr:row>
      <xdr:rowOff>0</xdr:rowOff>
    </xdr:to>
    <xdr:pic>
      <xdr:nvPicPr>
        <xdr:cNvPr id="35" name="Afbeelding 34" descr="SH">
          <a:extLst>
            <a:ext uri="{FF2B5EF4-FFF2-40B4-BE49-F238E27FC236}">
              <a16:creationId xmlns:a16="http://schemas.microsoft.com/office/drawing/2014/main" id="{00000000-0008-0000-0700-000023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101803201" y="4858871"/>
          <a:ext cx="331694" cy="4034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134</xdr:col>
      <xdr:colOff>1</xdr:colOff>
      <xdr:row>20</xdr:row>
      <xdr:rowOff>0</xdr:rowOff>
    </xdr:from>
    <xdr:to>
      <xdr:col>135</xdr:col>
      <xdr:colOff>1</xdr:colOff>
      <xdr:row>21</xdr:row>
      <xdr:rowOff>0</xdr:rowOff>
    </xdr:to>
    <xdr:pic>
      <xdr:nvPicPr>
        <xdr:cNvPr id="36" name="Afbeelding 35" descr="ME">
          <a:extLst>
            <a:ext uri="{FF2B5EF4-FFF2-40B4-BE49-F238E27FC236}">
              <a16:creationId xmlns:a16="http://schemas.microsoft.com/office/drawing/2014/main" id="{00000000-0008-0000-0700-000024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102798283" y="4858871"/>
          <a:ext cx="331694" cy="403411"/>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135</xdr:col>
      <xdr:colOff>0</xdr:colOff>
      <xdr:row>20</xdr:row>
      <xdr:rowOff>0</xdr:rowOff>
    </xdr:from>
    <xdr:to>
      <xdr:col>136</xdr:col>
      <xdr:colOff>0</xdr:colOff>
      <xdr:row>21</xdr:row>
      <xdr:rowOff>0</xdr:rowOff>
    </xdr:to>
    <xdr:pic>
      <xdr:nvPicPr>
        <xdr:cNvPr id="37" name="Afbeelding 36" descr="TW">
          <a:extLst>
            <a:ext uri="{FF2B5EF4-FFF2-40B4-BE49-F238E27FC236}">
              <a16:creationId xmlns:a16="http://schemas.microsoft.com/office/drawing/2014/main" id="{00000000-0008-0000-0700-000025000000}"/>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103129976" y="4858871"/>
          <a:ext cx="331695" cy="4034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129</xdr:col>
      <xdr:colOff>1</xdr:colOff>
      <xdr:row>20</xdr:row>
      <xdr:rowOff>0</xdr:rowOff>
    </xdr:from>
    <xdr:to>
      <xdr:col>130</xdr:col>
      <xdr:colOff>1</xdr:colOff>
      <xdr:row>21</xdr:row>
      <xdr:rowOff>0</xdr:rowOff>
    </xdr:to>
    <xdr:pic>
      <xdr:nvPicPr>
        <xdr:cNvPr id="38" name="Afbeelding 37" descr="IMP">
          <a:extLst>
            <a:ext uri="{FF2B5EF4-FFF2-40B4-BE49-F238E27FC236}">
              <a16:creationId xmlns:a16="http://schemas.microsoft.com/office/drawing/2014/main" id="{00000000-0008-0000-0700-000026000000}"/>
            </a:ext>
          </a:extLst>
        </xdr:cNvPr>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101139813" y="4858871"/>
          <a:ext cx="331694" cy="403411"/>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136</xdr:col>
      <xdr:colOff>1</xdr:colOff>
      <xdr:row>20</xdr:row>
      <xdr:rowOff>0</xdr:rowOff>
    </xdr:from>
    <xdr:to>
      <xdr:col>137</xdr:col>
      <xdr:colOff>1</xdr:colOff>
      <xdr:row>21</xdr:row>
      <xdr:rowOff>0</xdr:rowOff>
    </xdr:to>
    <xdr:pic>
      <xdr:nvPicPr>
        <xdr:cNvPr id="39" name="Afbeelding 38" descr="CF">
          <a:extLst>
            <a:ext uri="{FF2B5EF4-FFF2-40B4-BE49-F238E27FC236}">
              <a16:creationId xmlns:a16="http://schemas.microsoft.com/office/drawing/2014/main" id="{00000000-0008-0000-0700-000027000000}"/>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103461672" y="4858871"/>
          <a:ext cx="331694" cy="4034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137</xdr:col>
      <xdr:colOff>1</xdr:colOff>
      <xdr:row>20</xdr:row>
      <xdr:rowOff>0</xdr:rowOff>
    </xdr:from>
    <xdr:to>
      <xdr:col>138</xdr:col>
      <xdr:colOff>1</xdr:colOff>
      <xdr:row>21</xdr:row>
      <xdr:rowOff>0</xdr:rowOff>
    </xdr:to>
    <xdr:pic>
      <xdr:nvPicPr>
        <xdr:cNvPr id="40" name="Afbeelding 39" descr="SP">
          <a:extLst>
            <a:ext uri="{FF2B5EF4-FFF2-40B4-BE49-F238E27FC236}">
              <a16:creationId xmlns:a16="http://schemas.microsoft.com/office/drawing/2014/main" id="{00000000-0008-0000-0700-000028000000}"/>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103793366" y="4858871"/>
          <a:ext cx="331694" cy="403411"/>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5</xdr:col>
      <xdr:colOff>519949</xdr:colOff>
      <xdr:row>20</xdr:row>
      <xdr:rowOff>17930</xdr:rowOff>
    </xdr:from>
    <xdr:to>
      <xdr:col>7</xdr:col>
      <xdr:colOff>555807</xdr:colOff>
      <xdr:row>22</xdr:row>
      <xdr:rowOff>20049</xdr:rowOff>
    </xdr:to>
    <xdr:sp macro="[0]!ToStart" textlink="">
      <xdr:nvSpPr>
        <xdr:cNvPr id="41" name="Afgeronde rechthoek 40">
          <a:extLst>
            <a:ext uri="{FF2B5EF4-FFF2-40B4-BE49-F238E27FC236}">
              <a16:creationId xmlns:a16="http://schemas.microsoft.com/office/drawing/2014/main" id="{00000000-0008-0000-0700-000029000000}"/>
            </a:ext>
          </a:extLst>
        </xdr:cNvPr>
        <xdr:cNvSpPr/>
      </xdr:nvSpPr>
      <xdr:spPr>
        <a:xfrm>
          <a:off x="6598020" y="4876801"/>
          <a:ext cx="1290916" cy="46828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200" b="0"/>
            <a:t>Back to Start</a:t>
          </a:r>
          <a:endParaRPr lang="nl-NL" sz="1000" b="0"/>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25</xdr:col>
      <xdr:colOff>609600</xdr:colOff>
      <xdr:row>19</xdr:row>
      <xdr:rowOff>45720</xdr:rowOff>
    </xdr:from>
    <xdr:to>
      <xdr:col>27</xdr:col>
      <xdr:colOff>617220</xdr:colOff>
      <xdr:row>21</xdr:row>
      <xdr:rowOff>45720</xdr:rowOff>
    </xdr:to>
    <xdr:sp macro="[0]!NextSection" textlink="">
      <xdr:nvSpPr>
        <xdr:cNvPr id="2" name="Vijfhoek 1">
          <a:extLst>
            <a:ext uri="{FF2B5EF4-FFF2-40B4-BE49-F238E27FC236}">
              <a16:creationId xmlns:a16="http://schemas.microsoft.com/office/drawing/2014/main" id="{00000000-0008-0000-0800-000002000000}"/>
            </a:ext>
          </a:extLst>
        </xdr:cNvPr>
        <xdr:cNvSpPr/>
      </xdr:nvSpPr>
      <xdr:spPr>
        <a:xfrm>
          <a:off x="22128480" y="482346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44</xdr:col>
      <xdr:colOff>0</xdr:colOff>
      <xdr:row>20</xdr:row>
      <xdr:rowOff>0</xdr:rowOff>
    </xdr:from>
    <xdr:to>
      <xdr:col>46</xdr:col>
      <xdr:colOff>0</xdr:colOff>
      <xdr:row>22</xdr:row>
      <xdr:rowOff>0</xdr:rowOff>
    </xdr:to>
    <xdr:sp macro="[0]!NextSection" textlink="">
      <xdr:nvSpPr>
        <xdr:cNvPr id="3" name="Vijfhoek 2">
          <a:extLst>
            <a:ext uri="{FF2B5EF4-FFF2-40B4-BE49-F238E27FC236}">
              <a16:creationId xmlns:a16="http://schemas.microsoft.com/office/drawing/2014/main" id="{00000000-0008-0000-0800-000003000000}"/>
            </a:ext>
          </a:extLst>
        </xdr:cNvPr>
        <xdr:cNvSpPr/>
      </xdr:nvSpPr>
      <xdr:spPr>
        <a:xfrm>
          <a:off x="3633978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42</xdr:col>
      <xdr:colOff>0</xdr:colOff>
      <xdr:row>20</xdr:row>
      <xdr:rowOff>0</xdr:rowOff>
    </xdr:from>
    <xdr:to>
      <xdr:col>44</xdr:col>
      <xdr:colOff>0</xdr:colOff>
      <xdr:row>22</xdr:row>
      <xdr:rowOff>0</xdr:rowOff>
    </xdr:to>
    <xdr:sp macro="[0]!SectionBack" textlink="">
      <xdr:nvSpPr>
        <xdr:cNvPr id="4" name="Vijfhoek 3">
          <a:extLst>
            <a:ext uri="{FF2B5EF4-FFF2-40B4-BE49-F238E27FC236}">
              <a16:creationId xmlns:a16="http://schemas.microsoft.com/office/drawing/2014/main" id="{00000000-0008-0000-0800-000004000000}"/>
            </a:ext>
          </a:extLst>
        </xdr:cNvPr>
        <xdr:cNvSpPr/>
      </xdr:nvSpPr>
      <xdr:spPr>
        <a:xfrm flipH="1">
          <a:off x="3509010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24</xdr:col>
      <xdr:colOff>0</xdr:colOff>
      <xdr:row>19</xdr:row>
      <xdr:rowOff>45720</xdr:rowOff>
    </xdr:from>
    <xdr:to>
      <xdr:col>26</xdr:col>
      <xdr:colOff>0</xdr:colOff>
      <xdr:row>21</xdr:row>
      <xdr:rowOff>45720</xdr:rowOff>
    </xdr:to>
    <xdr:sp macro="[0]!SectionBack" textlink="">
      <xdr:nvSpPr>
        <xdr:cNvPr id="5" name="Vijfhoek 4">
          <a:extLst>
            <a:ext uri="{FF2B5EF4-FFF2-40B4-BE49-F238E27FC236}">
              <a16:creationId xmlns:a16="http://schemas.microsoft.com/office/drawing/2014/main" id="{00000000-0008-0000-0800-000005000000}"/>
            </a:ext>
          </a:extLst>
        </xdr:cNvPr>
        <xdr:cNvSpPr/>
      </xdr:nvSpPr>
      <xdr:spPr>
        <a:xfrm flipH="1">
          <a:off x="20894040" y="482346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60</xdr:col>
      <xdr:colOff>0</xdr:colOff>
      <xdr:row>20</xdr:row>
      <xdr:rowOff>0</xdr:rowOff>
    </xdr:from>
    <xdr:to>
      <xdr:col>62</xdr:col>
      <xdr:colOff>0</xdr:colOff>
      <xdr:row>22</xdr:row>
      <xdr:rowOff>0</xdr:rowOff>
    </xdr:to>
    <xdr:sp macro="[0]!SectionBack" textlink="">
      <xdr:nvSpPr>
        <xdr:cNvPr id="6" name="Vijfhoek 5">
          <a:extLst>
            <a:ext uri="{FF2B5EF4-FFF2-40B4-BE49-F238E27FC236}">
              <a16:creationId xmlns:a16="http://schemas.microsoft.com/office/drawing/2014/main" id="{00000000-0008-0000-0800-000006000000}"/>
            </a:ext>
          </a:extLst>
        </xdr:cNvPr>
        <xdr:cNvSpPr/>
      </xdr:nvSpPr>
      <xdr:spPr>
        <a:xfrm flipH="1">
          <a:off x="4928616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79</xdr:col>
      <xdr:colOff>617220</xdr:colOff>
      <xdr:row>20</xdr:row>
      <xdr:rowOff>0</xdr:rowOff>
    </xdr:from>
    <xdr:to>
      <xdr:col>82</xdr:col>
      <xdr:colOff>0</xdr:colOff>
      <xdr:row>22</xdr:row>
      <xdr:rowOff>0</xdr:rowOff>
    </xdr:to>
    <xdr:sp macro="[0]!NextSection" textlink="">
      <xdr:nvSpPr>
        <xdr:cNvPr id="7" name="Vijfhoek 6">
          <a:extLst>
            <a:ext uri="{FF2B5EF4-FFF2-40B4-BE49-F238E27FC236}">
              <a16:creationId xmlns:a16="http://schemas.microsoft.com/office/drawing/2014/main" id="{00000000-0008-0000-0800-000007000000}"/>
            </a:ext>
          </a:extLst>
        </xdr:cNvPr>
        <xdr:cNvSpPr/>
      </xdr:nvSpPr>
      <xdr:spPr>
        <a:xfrm>
          <a:off x="6472428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98</xdr:col>
      <xdr:colOff>0</xdr:colOff>
      <xdr:row>20</xdr:row>
      <xdr:rowOff>0</xdr:rowOff>
    </xdr:from>
    <xdr:to>
      <xdr:col>100</xdr:col>
      <xdr:colOff>7620</xdr:colOff>
      <xdr:row>22</xdr:row>
      <xdr:rowOff>0</xdr:rowOff>
    </xdr:to>
    <xdr:sp macro="[0]!NextSection" textlink="">
      <xdr:nvSpPr>
        <xdr:cNvPr id="8" name="Vijfhoek 7">
          <a:extLst>
            <a:ext uri="{FF2B5EF4-FFF2-40B4-BE49-F238E27FC236}">
              <a16:creationId xmlns:a16="http://schemas.microsoft.com/office/drawing/2014/main" id="{00000000-0008-0000-0800-000008000000}"/>
            </a:ext>
          </a:extLst>
        </xdr:cNvPr>
        <xdr:cNvSpPr/>
      </xdr:nvSpPr>
      <xdr:spPr>
        <a:xfrm>
          <a:off x="7892796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116</xdr:col>
      <xdr:colOff>0</xdr:colOff>
      <xdr:row>20</xdr:row>
      <xdr:rowOff>0</xdr:rowOff>
    </xdr:from>
    <xdr:to>
      <xdr:col>118</xdr:col>
      <xdr:colOff>7620</xdr:colOff>
      <xdr:row>22</xdr:row>
      <xdr:rowOff>0</xdr:rowOff>
    </xdr:to>
    <xdr:sp macro="[0]!NextSection" textlink="">
      <xdr:nvSpPr>
        <xdr:cNvPr id="9" name="Vijfhoek 8">
          <a:extLst>
            <a:ext uri="{FF2B5EF4-FFF2-40B4-BE49-F238E27FC236}">
              <a16:creationId xmlns:a16="http://schemas.microsoft.com/office/drawing/2014/main" id="{00000000-0008-0000-0800-000009000000}"/>
            </a:ext>
          </a:extLst>
        </xdr:cNvPr>
        <xdr:cNvSpPr/>
      </xdr:nvSpPr>
      <xdr:spPr>
        <a:xfrm>
          <a:off x="9312402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62</xdr:col>
      <xdr:colOff>0</xdr:colOff>
      <xdr:row>20</xdr:row>
      <xdr:rowOff>0</xdr:rowOff>
    </xdr:from>
    <xdr:to>
      <xdr:col>64</xdr:col>
      <xdr:colOff>7620</xdr:colOff>
      <xdr:row>22</xdr:row>
      <xdr:rowOff>0</xdr:rowOff>
    </xdr:to>
    <xdr:sp macro="[0]!NextSection" textlink="">
      <xdr:nvSpPr>
        <xdr:cNvPr id="10" name="Vijfhoek 9">
          <a:extLst>
            <a:ext uri="{FF2B5EF4-FFF2-40B4-BE49-F238E27FC236}">
              <a16:creationId xmlns:a16="http://schemas.microsoft.com/office/drawing/2014/main" id="{00000000-0008-0000-0800-00000A000000}"/>
            </a:ext>
          </a:extLst>
        </xdr:cNvPr>
        <xdr:cNvSpPr/>
      </xdr:nvSpPr>
      <xdr:spPr>
        <a:xfrm>
          <a:off x="50535840" y="4838700"/>
          <a:ext cx="125730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8</xdr:col>
      <xdr:colOff>0</xdr:colOff>
      <xdr:row>20</xdr:row>
      <xdr:rowOff>0</xdr:rowOff>
    </xdr:from>
    <xdr:to>
      <xdr:col>10</xdr:col>
      <xdr:colOff>0</xdr:colOff>
      <xdr:row>22</xdr:row>
      <xdr:rowOff>0</xdr:rowOff>
    </xdr:to>
    <xdr:sp macro="[0]!NextSection" textlink="">
      <xdr:nvSpPr>
        <xdr:cNvPr id="11" name="Vijfhoek 10">
          <a:extLst>
            <a:ext uri="{FF2B5EF4-FFF2-40B4-BE49-F238E27FC236}">
              <a16:creationId xmlns:a16="http://schemas.microsoft.com/office/drawing/2014/main" id="{00000000-0008-0000-0800-00000B000000}"/>
            </a:ext>
          </a:extLst>
        </xdr:cNvPr>
        <xdr:cNvSpPr/>
      </xdr:nvSpPr>
      <xdr:spPr>
        <a:xfrm>
          <a:off x="794766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Continue</a:t>
          </a:r>
          <a:endParaRPr lang="nl-NL" sz="1100" b="0"/>
        </a:p>
      </xdr:txBody>
    </xdr:sp>
    <xdr:clientData/>
  </xdr:twoCellAnchor>
  <xdr:twoCellAnchor>
    <xdr:from>
      <xdr:col>78</xdr:col>
      <xdr:colOff>0</xdr:colOff>
      <xdr:row>20</xdr:row>
      <xdr:rowOff>0</xdr:rowOff>
    </xdr:from>
    <xdr:to>
      <xdr:col>80</xdr:col>
      <xdr:colOff>0</xdr:colOff>
      <xdr:row>22</xdr:row>
      <xdr:rowOff>0</xdr:rowOff>
    </xdr:to>
    <xdr:sp macro="[0]!SectionBack" textlink="">
      <xdr:nvSpPr>
        <xdr:cNvPr id="12" name="Vijfhoek 11">
          <a:extLst>
            <a:ext uri="{FF2B5EF4-FFF2-40B4-BE49-F238E27FC236}">
              <a16:creationId xmlns:a16="http://schemas.microsoft.com/office/drawing/2014/main" id="{00000000-0008-0000-0800-00000C000000}"/>
            </a:ext>
          </a:extLst>
        </xdr:cNvPr>
        <xdr:cNvSpPr/>
      </xdr:nvSpPr>
      <xdr:spPr>
        <a:xfrm flipH="1">
          <a:off x="6348222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96</xdr:col>
      <xdr:colOff>0</xdr:colOff>
      <xdr:row>20</xdr:row>
      <xdr:rowOff>0</xdr:rowOff>
    </xdr:from>
    <xdr:to>
      <xdr:col>98</xdr:col>
      <xdr:colOff>0</xdr:colOff>
      <xdr:row>22</xdr:row>
      <xdr:rowOff>0</xdr:rowOff>
    </xdr:to>
    <xdr:sp macro="[0]!SectionBack" textlink="">
      <xdr:nvSpPr>
        <xdr:cNvPr id="13" name="Vijfhoek 12">
          <a:extLst>
            <a:ext uri="{FF2B5EF4-FFF2-40B4-BE49-F238E27FC236}">
              <a16:creationId xmlns:a16="http://schemas.microsoft.com/office/drawing/2014/main" id="{00000000-0008-0000-0800-00000D000000}"/>
            </a:ext>
          </a:extLst>
        </xdr:cNvPr>
        <xdr:cNvSpPr/>
      </xdr:nvSpPr>
      <xdr:spPr>
        <a:xfrm flipH="1">
          <a:off x="7767828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xdr:from>
      <xdr:col>114</xdr:col>
      <xdr:colOff>0</xdr:colOff>
      <xdr:row>20</xdr:row>
      <xdr:rowOff>0</xdr:rowOff>
    </xdr:from>
    <xdr:to>
      <xdr:col>116</xdr:col>
      <xdr:colOff>0</xdr:colOff>
      <xdr:row>22</xdr:row>
      <xdr:rowOff>0</xdr:rowOff>
    </xdr:to>
    <xdr:sp macro="[0]!SectionBack" textlink="">
      <xdr:nvSpPr>
        <xdr:cNvPr id="14" name="Vijfhoek 13">
          <a:extLst>
            <a:ext uri="{FF2B5EF4-FFF2-40B4-BE49-F238E27FC236}">
              <a16:creationId xmlns:a16="http://schemas.microsoft.com/office/drawing/2014/main" id="{00000000-0008-0000-0800-00000E000000}"/>
            </a:ext>
          </a:extLst>
        </xdr:cNvPr>
        <xdr:cNvSpPr/>
      </xdr:nvSpPr>
      <xdr:spPr>
        <a:xfrm flipH="1">
          <a:off x="91874340" y="4838700"/>
          <a:ext cx="1249680" cy="46482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600" b="0"/>
            <a:t>Back</a:t>
          </a:r>
        </a:p>
      </xdr:txBody>
    </xdr:sp>
    <xdr:clientData/>
  </xdr:twoCellAnchor>
  <xdr:twoCellAnchor editAs="oneCell">
    <xdr:from>
      <xdr:col>143</xdr:col>
      <xdr:colOff>11207</xdr:colOff>
      <xdr:row>4</xdr:row>
      <xdr:rowOff>8965</xdr:rowOff>
    </xdr:from>
    <xdr:to>
      <xdr:col>143</xdr:col>
      <xdr:colOff>425824</xdr:colOff>
      <xdr:row>5</xdr:row>
      <xdr:rowOff>20170</xdr:rowOff>
    </xdr:to>
    <xdr:pic macro="[0]!implementor">
      <xdr:nvPicPr>
        <xdr:cNvPr id="15" name="Afbeelding 14" descr="C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7316047" y="1129105"/>
          <a:ext cx="414617" cy="4150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0</xdr:colOff>
      <xdr:row>6</xdr:row>
      <xdr:rowOff>0</xdr:rowOff>
    </xdr:from>
    <xdr:to>
      <xdr:col>143</xdr:col>
      <xdr:colOff>425824</xdr:colOff>
      <xdr:row>7</xdr:row>
      <xdr:rowOff>22411</xdr:rowOff>
    </xdr:to>
    <xdr:pic macro="[0]!Coordinator">
      <xdr:nvPicPr>
        <xdr:cNvPr id="16" name="Afbeelding 15" descr="CO">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7304840" y="1584960"/>
          <a:ext cx="425824" cy="426272"/>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8</xdr:row>
      <xdr:rowOff>0</xdr:rowOff>
    </xdr:from>
    <xdr:to>
      <xdr:col>143</xdr:col>
      <xdr:colOff>425825</xdr:colOff>
      <xdr:row>9</xdr:row>
      <xdr:rowOff>11208</xdr:rowOff>
    </xdr:to>
    <xdr:pic macro="[0]!Shaper">
      <xdr:nvPicPr>
        <xdr:cNvPr id="17" name="Afbeelding 16" descr="SH">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07316047" y="2049780"/>
          <a:ext cx="414618" cy="4150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10</xdr:row>
      <xdr:rowOff>0</xdr:rowOff>
    </xdr:from>
    <xdr:to>
      <xdr:col>143</xdr:col>
      <xdr:colOff>425825</xdr:colOff>
      <xdr:row>11</xdr:row>
      <xdr:rowOff>11206</xdr:rowOff>
    </xdr:to>
    <xdr:pic macro="[0]!Plant">
      <xdr:nvPicPr>
        <xdr:cNvPr id="18" name="Afbeelding 17" descr="PL">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07316047" y="2514600"/>
          <a:ext cx="414618" cy="415066"/>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12</xdr:row>
      <xdr:rowOff>0</xdr:rowOff>
    </xdr:from>
    <xdr:to>
      <xdr:col>143</xdr:col>
      <xdr:colOff>425825</xdr:colOff>
      <xdr:row>13</xdr:row>
      <xdr:rowOff>11206</xdr:rowOff>
    </xdr:to>
    <xdr:pic macro="[0]!Resource">
      <xdr:nvPicPr>
        <xdr:cNvPr id="19" name="Afbeelding 18" descr="RI">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07316047" y="2979420"/>
          <a:ext cx="414618" cy="4150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14</xdr:row>
      <xdr:rowOff>0</xdr:rowOff>
    </xdr:from>
    <xdr:to>
      <xdr:col>143</xdr:col>
      <xdr:colOff>425825</xdr:colOff>
      <xdr:row>15</xdr:row>
      <xdr:rowOff>11206</xdr:rowOff>
    </xdr:to>
    <xdr:pic macro="[0]!Monitor">
      <xdr:nvPicPr>
        <xdr:cNvPr id="20" name="Afbeelding 19" descr="ME">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07316047" y="3444240"/>
          <a:ext cx="414618" cy="415066"/>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16</xdr:row>
      <xdr:rowOff>0</xdr:rowOff>
    </xdr:from>
    <xdr:to>
      <xdr:col>143</xdr:col>
      <xdr:colOff>425825</xdr:colOff>
      <xdr:row>17</xdr:row>
      <xdr:rowOff>11206</xdr:rowOff>
    </xdr:to>
    <xdr:pic macro="[0]!TeamWorker">
      <xdr:nvPicPr>
        <xdr:cNvPr id="21" name="Afbeelding 20" descr="TW">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07316047" y="3909060"/>
          <a:ext cx="414618" cy="4150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11207</xdr:colOff>
      <xdr:row>18</xdr:row>
      <xdr:rowOff>0</xdr:rowOff>
    </xdr:from>
    <xdr:to>
      <xdr:col>143</xdr:col>
      <xdr:colOff>425825</xdr:colOff>
      <xdr:row>19</xdr:row>
      <xdr:rowOff>11206</xdr:rowOff>
    </xdr:to>
    <xdr:pic macro="[0]!Completer">
      <xdr:nvPicPr>
        <xdr:cNvPr id="22" name="Afbeelding 21" descr="C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7316047" y="4373880"/>
          <a:ext cx="414618" cy="4150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143</xdr:col>
      <xdr:colOff>11208</xdr:colOff>
      <xdr:row>20</xdr:row>
      <xdr:rowOff>1</xdr:rowOff>
    </xdr:from>
    <xdr:to>
      <xdr:col>143</xdr:col>
      <xdr:colOff>425826</xdr:colOff>
      <xdr:row>21</xdr:row>
      <xdr:rowOff>11207</xdr:rowOff>
    </xdr:to>
    <xdr:pic macro="[0]!Specialist">
      <xdr:nvPicPr>
        <xdr:cNvPr id="23" name="Afbeelding 22" descr="SP">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07316048" y="4838701"/>
          <a:ext cx="414618" cy="4150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140</xdr:col>
      <xdr:colOff>1</xdr:colOff>
      <xdr:row>1</xdr:row>
      <xdr:rowOff>22412</xdr:rowOff>
    </xdr:from>
    <xdr:to>
      <xdr:col>141</xdr:col>
      <xdr:colOff>663388</xdr:colOff>
      <xdr:row>2</xdr:row>
      <xdr:rowOff>338295</xdr:rowOff>
    </xdr:to>
    <xdr:sp macro="[0]!ToStart" textlink="">
      <xdr:nvSpPr>
        <xdr:cNvPr id="24" name="Afgeronde rechthoek 23">
          <a:extLst>
            <a:ext uri="{FF2B5EF4-FFF2-40B4-BE49-F238E27FC236}">
              <a16:creationId xmlns:a16="http://schemas.microsoft.com/office/drawing/2014/main" id="{00000000-0008-0000-0800-000018000000}"/>
            </a:ext>
          </a:extLst>
        </xdr:cNvPr>
        <xdr:cNvSpPr/>
      </xdr:nvSpPr>
      <xdr:spPr>
        <a:xfrm>
          <a:off x="105049321" y="251012"/>
          <a:ext cx="1288227" cy="53686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200" b="0"/>
            <a:t>Back to Start</a:t>
          </a:r>
          <a:endParaRPr lang="nl-NL" sz="1000" b="0"/>
        </a:p>
      </xdr:txBody>
    </xdr:sp>
    <xdr:clientData fPrintsWithSheet="0"/>
  </xdr:twoCellAnchor>
  <xdr:twoCellAnchor>
    <xdr:from>
      <xdr:col>142</xdr:col>
      <xdr:colOff>481853</xdr:colOff>
      <xdr:row>1</xdr:row>
      <xdr:rowOff>0</xdr:rowOff>
    </xdr:from>
    <xdr:to>
      <xdr:col>144</xdr:col>
      <xdr:colOff>0</xdr:colOff>
      <xdr:row>2</xdr:row>
      <xdr:rowOff>315883</xdr:rowOff>
    </xdr:to>
    <xdr:sp macro="[0]!Printpreview" textlink="">
      <xdr:nvSpPr>
        <xdr:cNvPr id="25" name="Afgeronde rechthoek 24">
          <a:extLst>
            <a:ext uri="{FF2B5EF4-FFF2-40B4-BE49-F238E27FC236}">
              <a16:creationId xmlns:a16="http://schemas.microsoft.com/office/drawing/2014/main" id="{00000000-0008-0000-0800-000019000000}"/>
            </a:ext>
          </a:extLst>
        </xdr:cNvPr>
        <xdr:cNvSpPr/>
      </xdr:nvSpPr>
      <xdr:spPr>
        <a:xfrm>
          <a:off x="107161853" y="228600"/>
          <a:ext cx="600187" cy="53686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nl-NL" sz="2800">
              <a:sym typeface="Webdings"/>
            </a:rPr>
            <a:t></a:t>
          </a:r>
          <a:endParaRPr lang="nl-NL" sz="1100"/>
        </a:p>
      </xdr:txBody>
    </xdr:sp>
    <xdr:clientData fPrintsWithSheet="0"/>
  </xdr:twoCellAnchor>
  <xdr:twoCellAnchor>
    <xdr:from>
      <xdr:col>127</xdr:col>
      <xdr:colOff>35859</xdr:colOff>
      <xdr:row>25</xdr:row>
      <xdr:rowOff>188258</xdr:rowOff>
    </xdr:from>
    <xdr:to>
      <xdr:col>144</xdr:col>
      <xdr:colOff>0</xdr:colOff>
      <xdr:row>51</xdr:row>
      <xdr:rowOff>183777</xdr:rowOff>
    </xdr:to>
    <xdr:graphicFrame macro="">
      <xdr:nvGraphicFramePr>
        <xdr:cNvPr id="26" name="Grafiek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140</xdr:col>
      <xdr:colOff>1</xdr:colOff>
      <xdr:row>22</xdr:row>
      <xdr:rowOff>143436</xdr:rowOff>
    </xdr:from>
    <xdr:ext cx="2716305" cy="609013"/>
    <xdr:sp macro="" textlink="">
      <xdr:nvSpPr>
        <xdr:cNvPr id="27" name="Tekstvak 26">
          <a:extLst>
            <a:ext uri="{FF2B5EF4-FFF2-40B4-BE49-F238E27FC236}">
              <a16:creationId xmlns:a16="http://schemas.microsoft.com/office/drawing/2014/main" id="{00000000-0008-0000-0800-00001B000000}"/>
            </a:ext>
          </a:extLst>
        </xdr:cNvPr>
        <xdr:cNvSpPr txBox="1"/>
      </xdr:nvSpPr>
      <xdr:spPr>
        <a:xfrm>
          <a:off x="105049321" y="5446956"/>
          <a:ext cx="2716305" cy="609013"/>
        </a:xfrm>
        <a:prstGeom prst="rect">
          <a:avLst/>
        </a:prstGeom>
        <a:solidFill>
          <a:schemeClr val="tx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nl-NL" sz="1100">
              <a:solidFill>
                <a:schemeClr val="bg1"/>
              </a:solidFill>
            </a:rPr>
            <a:t>Blue highlighted Roles are most applicable. By clicking on the icon, information about this role will be shown.</a:t>
          </a:r>
        </a:p>
      </xdr:txBody>
    </xdr:sp>
    <xdr:clientData fPrintsWithSheet="0"/>
  </xdr:oneCellAnchor>
  <xdr:twoCellAnchor editAs="oneCell">
    <xdr:from>
      <xdr:col>132</xdr:col>
      <xdr:colOff>1</xdr:colOff>
      <xdr:row>20</xdr:row>
      <xdr:rowOff>0</xdr:rowOff>
    </xdr:from>
    <xdr:to>
      <xdr:col>133</xdr:col>
      <xdr:colOff>1</xdr:colOff>
      <xdr:row>20</xdr:row>
      <xdr:rowOff>403411</xdr:rowOff>
    </xdr:to>
    <xdr:pic>
      <xdr:nvPicPr>
        <xdr:cNvPr id="28" name="Afbeelding 27" descr="PL">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10183368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133</xdr:col>
      <xdr:colOff>1</xdr:colOff>
      <xdr:row>20</xdr:row>
      <xdr:rowOff>0</xdr:rowOff>
    </xdr:from>
    <xdr:to>
      <xdr:col>134</xdr:col>
      <xdr:colOff>1</xdr:colOff>
      <xdr:row>20</xdr:row>
      <xdr:rowOff>403411</xdr:rowOff>
    </xdr:to>
    <xdr:pic>
      <xdr:nvPicPr>
        <xdr:cNvPr id="29" name="Afbeelding 28" descr="RI">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102161341"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130</xdr:col>
      <xdr:colOff>0</xdr:colOff>
      <xdr:row>20</xdr:row>
      <xdr:rowOff>0</xdr:rowOff>
    </xdr:from>
    <xdr:to>
      <xdr:col>131</xdr:col>
      <xdr:colOff>0</xdr:colOff>
      <xdr:row>20</xdr:row>
      <xdr:rowOff>403411</xdr:rowOff>
    </xdr:to>
    <xdr:pic>
      <xdr:nvPicPr>
        <xdr:cNvPr id="30" name="Afbeelding 29" descr="CO">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101178360"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131</xdr:col>
      <xdr:colOff>1</xdr:colOff>
      <xdr:row>20</xdr:row>
      <xdr:rowOff>0</xdr:rowOff>
    </xdr:from>
    <xdr:to>
      <xdr:col>132</xdr:col>
      <xdr:colOff>1</xdr:colOff>
      <xdr:row>20</xdr:row>
      <xdr:rowOff>403411</xdr:rowOff>
    </xdr:to>
    <xdr:pic>
      <xdr:nvPicPr>
        <xdr:cNvPr id="31" name="Afbeelding 30" descr="SH">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101506021"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134</xdr:col>
      <xdr:colOff>1</xdr:colOff>
      <xdr:row>20</xdr:row>
      <xdr:rowOff>0</xdr:rowOff>
    </xdr:from>
    <xdr:to>
      <xdr:col>135</xdr:col>
      <xdr:colOff>1</xdr:colOff>
      <xdr:row>20</xdr:row>
      <xdr:rowOff>403411</xdr:rowOff>
    </xdr:to>
    <xdr:pic>
      <xdr:nvPicPr>
        <xdr:cNvPr id="32" name="Afbeelding 31" descr="ME">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10248900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135</xdr:col>
      <xdr:colOff>0</xdr:colOff>
      <xdr:row>20</xdr:row>
      <xdr:rowOff>0</xdr:rowOff>
    </xdr:from>
    <xdr:to>
      <xdr:col>136</xdr:col>
      <xdr:colOff>0</xdr:colOff>
      <xdr:row>20</xdr:row>
      <xdr:rowOff>403411</xdr:rowOff>
    </xdr:to>
    <xdr:pic>
      <xdr:nvPicPr>
        <xdr:cNvPr id="33" name="Afbeelding 32" descr="TW">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102816660"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129</xdr:col>
      <xdr:colOff>1</xdr:colOff>
      <xdr:row>20</xdr:row>
      <xdr:rowOff>0</xdr:rowOff>
    </xdr:from>
    <xdr:to>
      <xdr:col>130</xdr:col>
      <xdr:colOff>1</xdr:colOff>
      <xdr:row>20</xdr:row>
      <xdr:rowOff>403411</xdr:rowOff>
    </xdr:to>
    <xdr:pic>
      <xdr:nvPicPr>
        <xdr:cNvPr id="34" name="Afbeelding 33" descr="IMP">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10085070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136</xdr:col>
      <xdr:colOff>1</xdr:colOff>
      <xdr:row>20</xdr:row>
      <xdr:rowOff>0</xdr:rowOff>
    </xdr:from>
    <xdr:to>
      <xdr:col>137</xdr:col>
      <xdr:colOff>1</xdr:colOff>
      <xdr:row>20</xdr:row>
      <xdr:rowOff>403411</xdr:rowOff>
    </xdr:to>
    <xdr:pic>
      <xdr:nvPicPr>
        <xdr:cNvPr id="35" name="Afbeelding 34" descr="C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103144321" y="4838700"/>
          <a:ext cx="32766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137</xdr:col>
      <xdr:colOff>1</xdr:colOff>
      <xdr:row>20</xdr:row>
      <xdr:rowOff>0</xdr:rowOff>
    </xdr:from>
    <xdr:to>
      <xdr:col>138</xdr:col>
      <xdr:colOff>1</xdr:colOff>
      <xdr:row>20</xdr:row>
      <xdr:rowOff>403411</xdr:rowOff>
    </xdr:to>
    <xdr:pic>
      <xdr:nvPicPr>
        <xdr:cNvPr id="36" name="Afbeelding 35" descr="SP">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103471981" y="4838700"/>
          <a:ext cx="327660" cy="4038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5</xdr:col>
      <xdr:colOff>537879</xdr:colOff>
      <xdr:row>20</xdr:row>
      <xdr:rowOff>8965</xdr:rowOff>
    </xdr:from>
    <xdr:to>
      <xdr:col>7</xdr:col>
      <xdr:colOff>573737</xdr:colOff>
      <xdr:row>22</xdr:row>
      <xdr:rowOff>11083</xdr:rowOff>
    </xdr:to>
    <xdr:sp macro="[0]!ToStart" textlink="">
      <xdr:nvSpPr>
        <xdr:cNvPr id="37" name="Afgeronde rechthoek 36">
          <a:extLst>
            <a:ext uri="{FF2B5EF4-FFF2-40B4-BE49-F238E27FC236}">
              <a16:creationId xmlns:a16="http://schemas.microsoft.com/office/drawing/2014/main" id="{00000000-0008-0000-0800-000025000000}"/>
            </a:ext>
          </a:extLst>
        </xdr:cNvPr>
        <xdr:cNvSpPr/>
      </xdr:nvSpPr>
      <xdr:spPr>
        <a:xfrm>
          <a:off x="6615950" y="4858871"/>
          <a:ext cx="1290916" cy="46828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200" b="0"/>
            <a:t>Back to Start</a:t>
          </a:r>
          <a:endParaRPr lang="nl-NL" sz="1000" b="0"/>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23</xdr:row>
      <xdr:rowOff>0</xdr:rowOff>
    </xdr:from>
    <xdr:to>
      <xdr:col>25</xdr:col>
      <xdr:colOff>0</xdr:colOff>
      <xdr:row>52</xdr:row>
      <xdr:rowOff>0</xdr:rowOff>
    </xdr:to>
    <xdr:graphicFrame macro="">
      <xdr:nvGraphicFramePr>
        <xdr:cNvPr id="11" name="Grafiek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1143000</xdr:colOff>
      <xdr:row>0</xdr:row>
      <xdr:rowOff>53340</xdr:rowOff>
    </xdr:from>
    <xdr:to>
      <xdr:col>0</xdr:col>
      <xdr:colOff>1745877</xdr:colOff>
      <xdr:row>1</xdr:row>
      <xdr:rowOff>181860</xdr:rowOff>
    </xdr:to>
    <xdr:sp macro="[0]!Printpreview_total_team" textlink="">
      <xdr:nvSpPr>
        <xdr:cNvPr id="3" name="Afgeronde rechthoek 2">
          <a:extLst>
            <a:ext uri="{FF2B5EF4-FFF2-40B4-BE49-F238E27FC236}">
              <a16:creationId xmlns:a16="http://schemas.microsoft.com/office/drawing/2014/main" id="{00000000-0008-0000-0900-000003000000}"/>
            </a:ext>
          </a:extLst>
        </xdr:cNvPr>
        <xdr:cNvSpPr/>
      </xdr:nvSpPr>
      <xdr:spPr>
        <a:xfrm>
          <a:off x="1143000" y="53340"/>
          <a:ext cx="602877" cy="540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nl-NL" sz="2800">
              <a:sym typeface="Webdings"/>
            </a:rPr>
            <a:t></a:t>
          </a:r>
          <a:endParaRPr lang="nl-NL" sz="1100"/>
        </a:p>
      </xdr:txBody>
    </xdr:sp>
    <xdr:clientData fPrintsWithSheet="0"/>
  </xdr:twoCellAnchor>
  <xdr:twoCellAnchor>
    <xdr:from>
      <xdr:col>0</xdr:col>
      <xdr:colOff>60960</xdr:colOff>
      <xdr:row>0</xdr:row>
      <xdr:rowOff>53340</xdr:rowOff>
    </xdr:from>
    <xdr:to>
      <xdr:col>0</xdr:col>
      <xdr:colOff>1021080</xdr:colOff>
      <xdr:row>1</xdr:row>
      <xdr:rowOff>181860</xdr:rowOff>
    </xdr:to>
    <xdr:sp macro="[0]!ToStart" textlink="">
      <xdr:nvSpPr>
        <xdr:cNvPr id="4" name="Afgeronde rechthoek 3">
          <a:extLst>
            <a:ext uri="{FF2B5EF4-FFF2-40B4-BE49-F238E27FC236}">
              <a16:creationId xmlns:a16="http://schemas.microsoft.com/office/drawing/2014/main" id="{00000000-0008-0000-0900-000004000000}"/>
            </a:ext>
          </a:extLst>
        </xdr:cNvPr>
        <xdr:cNvSpPr/>
      </xdr:nvSpPr>
      <xdr:spPr>
        <a:xfrm>
          <a:off x="60960" y="53340"/>
          <a:ext cx="960120" cy="540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200" b="0"/>
            <a:t>Back to Start</a:t>
          </a:r>
          <a:endParaRPr lang="nl-NL" sz="1000" b="0"/>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57150</xdr:colOff>
      <xdr:row>1</xdr:row>
      <xdr:rowOff>257175</xdr:rowOff>
    </xdr:from>
    <xdr:to>
      <xdr:col>0</xdr:col>
      <xdr:colOff>819150</xdr:colOff>
      <xdr:row>2</xdr:row>
      <xdr:rowOff>333375</xdr:rowOff>
    </xdr:to>
    <xdr:pic>
      <xdr:nvPicPr>
        <xdr:cNvPr id="2" name="Afbeelding 1" descr="PL">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7150" y="638175"/>
          <a:ext cx="7620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xdr:colOff>
      <xdr:row>3</xdr:row>
      <xdr:rowOff>295275</xdr:rowOff>
    </xdr:from>
    <xdr:to>
      <xdr:col>0</xdr:col>
      <xdr:colOff>800100</xdr:colOff>
      <xdr:row>4</xdr:row>
      <xdr:rowOff>371475</xdr:rowOff>
    </xdr:to>
    <xdr:pic>
      <xdr:nvPicPr>
        <xdr:cNvPr id="3" name="Afbeelding 2" descr="RI">
          <a:extLst>
            <a:ext uri="{FF2B5EF4-FFF2-40B4-BE49-F238E27FC236}">
              <a16:creationId xmlns:a16="http://schemas.microsoft.com/office/drawing/2014/main" id="{00000000-0008-0000-0B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100" y="2047875"/>
          <a:ext cx="7620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47625</xdr:colOff>
      <xdr:row>5</xdr:row>
      <xdr:rowOff>247650</xdr:rowOff>
    </xdr:from>
    <xdr:to>
      <xdr:col>0</xdr:col>
      <xdr:colOff>809625</xdr:colOff>
      <xdr:row>7</xdr:row>
      <xdr:rowOff>152400</xdr:rowOff>
    </xdr:to>
    <xdr:pic>
      <xdr:nvPicPr>
        <xdr:cNvPr id="4" name="Afbeelding 3" descr="CO">
          <a:extLst>
            <a:ext uri="{FF2B5EF4-FFF2-40B4-BE49-F238E27FC236}">
              <a16:creationId xmlns:a16="http://schemas.microsoft.com/office/drawing/2014/main" id="{00000000-0008-0000-0B00-000004000000}"/>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7625" y="3371850"/>
          <a:ext cx="7620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47625</xdr:colOff>
      <xdr:row>8</xdr:row>
      <xdr:rowOff>257175</xdr:rowOff>
    </xdr:from>
    <xdr:to>
      <xdr:col>0</xdr:col>
      <xdr:colOff>809625</xdr:colOff>
      <xdr:row>9</xdr:row>
      <xdr:rowOff>333375</xdr:rowOff>
    </xdr:to>
    <xdr:pic>
      <xdr:nvPicPr>
        <xdr:cNvPr id="5" name="Afbeelding 4" descr="SH">
          <a:extLst>
            <a:ext uri="{FF2B5EF4-FFF2-40B4-BE49-F238E27FC236}">
              <a16:creationId xmlns:a16="http://schemas.microsoft.com/office/drawing/2014/main" id="{00000000-0008-0000-0B00-000005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7625" y="4667250"/>
          <a:ext cx="7620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47625</xdr:colOff>
      <xdr:row>10</xdr:row>
      <xdr:rowOff>371475</xdr:rowOff>
    </xdr:from>
    <xdr:to>
      <xdr:col>0</xdr:col>
      <xdr:colOff>809625</xdr:colOff>
      <xdr:row>11</xdr:row>
      <xdr:rowOff>447675</xdr:rowOff>
    </xdr:to>
    <xdr:pic>
      <xdr:nvPicPr>
        <xdr:cNvPr id="6" name="Afbeelding 5" descr="ME">
          <a:extLst>
            <a:ext uri="{FF2B5EF4-FFF2-40B4-BE49-F238E27FC236}">
              <a16:creationId xmlns:a16="http://schemas.microsoft.com/office/drawing/2014/main" id="{00000000-0008-0000-0B00-000006000000}"/>
            </a:ext>
          </a:extLst>
        </xdr:cNvPr>
        <xdr:cNvPicPr>
          <a:picLocks noChangeAspect="1" noChangeArrowheads="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7625" y="6153150"/>
          <a:ext cx="7620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66675</xdr:colOff>
      <xdr:row>12</xdr:row>
      <xdr:rowOff>314325</xdr:rowOff>
    </xdr:from>
    <xdr:to>
      <xdr:col>0</xdr:col>
      <xdr:colOff>828675</xdr:colOff>
      <xdr:row>13</xdr:row>
      <xdr:rowOff>390525</xdr:rowOff>
    </xdr:to>
    <xdr:pic>
      <xdr:nvPicPr>
        <xdr:cNvPr id="7" name="Afbeelding 6" descr="TW">
          <a:extLst>
            <a:ext uri="{FF2B5EF4-FFF2-40B4-BE49-F238E27FC236}">
              <a16:creationId xmlns:a16="http://schemas.microsoft.com/office/drawing/2014/main" id="{00000000-0008-0000-0B00-000007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66675" y="7467600"/>
          <a:ext cx="7620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57150</xdr:colOff>
      <xdr:row>14</xdr:row>
      <xdr:rowOff>333375</xdr:rowOff>
    </xdr:from>
    <xdr:to>
      <xdr:col>0</xdr:col>
      <xdr:colOff>819150</xdr:colOff>
      <xdr:row>15</xdr:row>
      <xdr:rowOff>409575</xdr:rowOff>
    </xdr:to>
    <xdr:pic>
      <xdr:nvPicPr>
        <xdr:cNvPr id="8" name="Afbeelding 7" descr="IMP">
          <a:extLst>
            <a:ext uri="{FF2B5EF4-FFF2-40B4-BE49-F238E27FC236}">
              <a16:creationId xmlns:a16="http://schemas.microsoft.com/office/drawing/2014/main" id="{00000000-0008-0000-0B00-000008000000}"/>
            </a:ext>
          </a:extLst>
        </xdr:cNvPr>
        <xdr:cNvPicPr>
          <a:picLocks noChangeAspect="1" noChangeArrowheads="1"/>
        </xdr:cNvPicPr>
      </xdr:nvPicPr>
      <xdr:blipFill>
        <a:blip xmlns:r="http://schemas.openxmlformats.org/officeDocument/2006/relationships" r:embed="rId7"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7150" y="8858250"/>
          <a:ext cx="7620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57150</xdr:colOff>
      <xdr:row>16</xdr:row>
      <xdr:rowOff>266700</xdr:rowOff>
    </xdr:from>
    <xdr:to>
      <xdr:col>0</xdr:col>
      <xdr:colOff>819150</xdr:colOff>
      <xdr:row>17</xdr:row>
      <xdr:rowOff>342900</xdr:rowOff>
    </xdr:to>
    <xdr:pic>
      <xdr:nvPicPr>
        <xdr:cNvPr id="9" name="Afbeelding 8" descr="CF">
          <a:extLst>
            <a:ext uri="{FF2B5EF4-FFF2-40B4-BE49-F238E27FC236}">
              <a16:creationId xmlns:a16="http://schemas.microsoft.com/office/drawing/2014/main" id="{00000000-0008-0000-0B00-000009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57150" y="10163175"/>
          <a:ext cx="7620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47625</xdr:colOff>
      <xdr:row>18</xdr:row>
      <xdr:rowOff>276225</xdr:rowOff>
    </xdr:from>
    <xdr:to>
      <xdr:col>0</xdr:col>
      <xdr:colOff>809625</xdr:colOff>
      <xdr:row>19</xdr:row>
      <xdr:rowOff>352425</xdr:rowOff>
    </xdr:to>
    <xdr:pic>
      <xdr:nvPicPr>
        <xdr:cNvPr id="10" name="Afbeelding 9" descr="SP">
          <a:extLst>
            <a:ext uri="{FF2B5EF4-FFF2-40B4-BE49-F238E27FC236}">
              <a16:creationId xmlns:a16="http://schemas.microsoft.com/office/drawing/2014/main" id="{00000000-0008-0000-0B00-00000A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47625" y="11544300"/>
          <a:ext cx="7620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83820</xdr:colOff>
      <xdr:row>0</xdr:row>
      <xdr:rowOff>76200</xdr:rowOff>
    </xdr:from>
    <xdr:to>
      <xdr:col>1</xdr:col>
      <xdr:colOff>45720</xdr:colOff>
      <xdr:row>0</xdr:row>
      <xdr:rowOff>510540</xdr:rowOff>
    </xdr:to>
    <xdr:sp macro="[0]!ToStart" textlink="">
      <xdr:nvSpPr>
        <xdr:cNvPr id="11" name="Afgeronde rechthoek 10">
          <a:extLst>
            <a:ext uri="{FF2B5EF4-FFF2-40B4-BE49-F238E27FC236}">
              <a16:creationId xmlns:a16="http://schemas.microsoft.com/office/drawing/2014/main" id="{00000000-0008-0000-0B00-00000B000000}"/>
            </a:ext>
          </a:extLst>
        </xdr:cNvPr>
        <xdr:cNvSpPr/>
      </xdr:nvSpPr>
      <xdr:spPr>
        <a:xfrm>
          <a:off x="83820" y="76200"/>
          <a:ext cx="853440" cy="43434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900" b="0"/>
            <a:t>Back to Start</a:t>
          </a:r>
          <a:endParaRPr lang="nl-NL" sz="600" b="0"/>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xdr:from>
      <xdr:col>0</xdr:col>
      <xdr:colOff>476250</xdr:colOff>
      <xdr:row>0</xdr:row>
      <xdr:rowOff>104775</xdr:rowOff>
    </xdr:from>
    <xdr:to>
      <xdr:col>1</xdr:col>
      <xdr:colOff>371474</xdr:colOff>
      <xdr:row>0</xdr:row>
      <xdr:rowOff>390525</xdr:rowOff>
    </xdr:to>
    <xdr:sp macro="[0]!BackToScore" textlink="">
      <xdr:nvSpPr>
        <xdr:cNvPr id="11" name="Vijfhoek 10">
          <a:extLst>
            <a:ext uri="{FF2B5EF4-FFF2-40B4-BE49-F238E27FC236}">
              <a16:creationId xmlns:a16="http://schemas.microsoft.com/office/drawing/2014/main" id="{00000000-0008-0000-0C00-00000B000000}"/>
            </a:ext>
          </a:extLst>
        </xdr:cNvPr>
        <xdr:cNvSpPr/>
      </xdr:nvSpPr>
      <xdr:spPr>
        <a:xfrm flipH="1">
          <a:off x="476250" y="104775"/>
          <a:ext cx="1066799" cy="285750"/>
        </a:xfrm>
        <a:prstGeom prst="homePlat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r>
            <a:rPr lang="nl-NL" sz="1100"/>
            <a:t>Back to score</a:t>
          </a:r>
        </a:p>
      </xdr:txBody>
    </xdr:sp>
    <xdr:clientData fPrintsWithSheet="0"/>
  </xdr:twoCellAnchor>
  <xdr:twoCellAnchor>
    <xdr:from>
      <xdr:col>1</xdr:col>
      <xdr:colOff>655320</xdr:colOff>
      <xdr:row>0</xdr:row>
      <xdr:rowOff>106680</xdr:rowOff>
    </xdr:from>
    <xdr:to>
      <xdr:col>1</xdr:col>
      <xdr:colOff>1744980</xdr:colOff>
      <xdr:row>0</xdr:row>
      <xdr:rowOff>403860</xdr:rowOff>
    </xdr:to>
    <xdr:sp macro="[0]!Printpreview_total" textlink="">
      <xdr:nvSpPr>
        <xdr:cNvPr id="3" name="Afgeronde rechthoek 2">
          <a:extLst>
            <a:ext uri="{FF2B5EF4-FFF2-40B4-BE49-F238E27FC236}">
              <a16:creationId xmlns:a16="http://schemas.microsoft.com/office/drawing/2014/main" id="{00000000-0008-0000-0C00-000003000000}"/>
            </a:ext>
          </a:extLst>
        </xdr:cNvPr>
        <xdr:cNvSpPr/>
      </xdr:nvSpPr>
      <xdr:spPr>
        <a:xfrm>
          <a:off x="1859280" y="106680"/>
          <a:ext cx="1089660" cy="29718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nl-NL" sz="1400">
              <a:sym typeface="Webdings"/>
            </a:rPr>
            <a:t> </a:t>
          </a:r>
          <a:r>
            <a:rPr lang="nl-NL" sz="1100">
              <a:sym typeface="Webdings"/>
            </a:rPr>
            <a:t>Print total</a:t>
          </a:r>
          <a:endParaRPr lang="nl-NL" sz="900"/>
        </a:p>
      </xdr:txBody>
    </xdr:sp>
    <xdr:clientData fPrintsWithSheet="0"/>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1:Q8"/>
  <sheetViews>
    <sheetView showGridLines="0" workbookViewId="0">
      <selection activeCell="C1" sqref="C1:E1"/>
    </sheetView>
  </sheetViews>
  <sheetFormatPr defaultRowHeight="14.4" x14ac:dyDescent="0.3"/>
  <cols>
    <col min="9" max="9" width="3.44140625" customWidth="1"/>
  </cols>
  <sheetData>
    <row r="1" spans="1:17" ht="35.1" customHeight="1" x14ac:dyDescent="0.3">
      <c r="A1" s="115" t="s">
        <v>94</v>
      </c>
      <c r="B1" s="36">
        <v>1</v>
      </c>
      <c r="C1" s="117" t="s">
        <v>161</v>
      </c>
      <c r="D1" s="117"/>
      <c r="E1" s="117"/>
      <c r="F1" s="38">
        <f>IF(SUM('SON CAO'!EM$5:EM$21)=70,1,0)</f>
        <v>0</v>
      </c>
      <c r="L1" s="111" t="s">
        <v>93</v>
      </c>
      <c r="M1" s="111"/>
      <c r="N1" s="111"/>
      <c r="O1" s="112">
        <v>123</v>
      </c>
      <c r="P1" s="113"/>
      <c r="Q1" s="113"/>
    </row>
    <row r="2" spans="1:17" ht="35.1" customHeight="1" x14ac:dyDescent="0.3">
      <c r="A2" s="115"/>
      <c r="B2" s="35">
        <v>2</v>
      </c>
      <c r="C2" s="118"/>
      <c r="D2" s="118"/>
      <c r="E2" s="118"/>
      <c r="F2" s="39">
        <f>IF(SUM('2'!EM$5:EM$21)=70,1,0)</f>
        <v>1</v>
      </c>
    </row>
    <row r="3" spans="1:17" ht="35.1" customHeight="1" x14ac:dyDescent="0.3">
      <c r="A3" s="115"/>
      <c r="B3" s="34">
        <v>3</v>
      </c>
      <c r="C3" s="119"/>
      <c r="D3" s="119"/>
      <c r="E3" s="119"/>
      <c r="F3" s="39">
        <f>IF(SUM('3'!EM$5:EM$21)=70,1,0)</f>
        <v>0</v>
      </c>
    </row>
    <row r="4" spans="1:17" ht="35.1" customHeight="1" x14ac:dyDescent="0.3">
      <c r="A4" s="115"/>
      <c r="B4" s="33">
        <v>4</v>
      </c>
      <c r="C4" s="120"/>
      <c r="D4" s="120"/>
      <c r="E4" s="120"/>
      <c r="F4" s="39">
        <f>IF(SUM('4'!EM$5:EM$21)=70,1,0)</f>
        <v>0</v>
      </c>
    </row>
    <row r="5" spans="1:17" ht="35.1" customHeight="1" x14ac:dyDescent="0.3">
      <c r="A5" s="115"/>
      <c r="B5" s="32">
        <v>5</v>
      </c>
      <c r="C5" s="121"/>
      <c r="D5" s="121"/>
      <c r="E5" s="121"/>
      <c r="F5" s="39">
        <f>IF(SUM('5'!EM$5:EM$21)=70,1,0)</f>
        <v>0</v>
      </c>
    </row>
    <row r="6" spans="1:17" ht="35.1" customHeight="1" x14ac:dyDescent="0.3">
      <c r="A6" s="115"/>
      <c r="B6" s="31">
        <v>6</v>
      </c>
      <c r="C6" s="110"/>
      <c r="D6" s="110"/>
      <c r="E6" s="110"/>
      <c r="F6" s="39">
        <f>IF(SUM('6'!EM$5:EM$21)=70,1,0)</f>
        <v>0</v>
      </c>
    </row>
    <row r="7" spans="1:17" ht="35.1" customHeight="1" x14ac:dyDescent="0.3">
      <c r="A7" s="115"/>
      <c r="B7" s="30">
        <v>7</v>
      </c>
      <c r="C7" s="114"/>
      <c r="D7" s="114"/>
      <c r="E7" s="114"/>
      <c r="F7" s="39">
        <f>IF(SUM('7'!EM$5:EM$21)=70,1,0)</f>
        <v>0</v>
      </c>
    </row>
    <row r="8" spans="1:17" ht="35.1" customHeight="1" x14ac:dyDescent="0.3">
      <c r="A8" s="115"/>
      <c r="B8" s="29">
        <v>8</v>
      </c>
      <c r="C8" s="116"/>
      <c r="D8" s="116"/>
      <c r="E8" s="116"/>
      <c r="F8" s="40">
        <f>IF(SUM('8'!EM$5:EM$21)=70,1,0)</f>
        <v>0</v>
      </c>
    </row>
  </sheetData>
  <sheetProtection sheet="1" objects="1" scenarios="1" selectLockedCells="1"/>
  <mergeCells count="11">
    <mergeCell ref="C6:E6"/>
    <mergeCell ref="L1:N1"/>
    <mergeCell ref="O1:Q1"/>
    <mergeCell ref="C7:E7"/>
    <mergeCell ref="A1:A8"/>
    <mergeCell ref="C8:E8"/>
    <mergeCell ref="C1:E1"/>
    <mergeCell ref="C2:E2"/>
    <mergeCell ref="C3:E3"/>
    <mergeCell ref="C4:E4"/>
    <mergeCell ref="C5:E5"/>
  </mergeCells>
  <conditionalFormatting sqref="F1:F8">
    <cfRule type="iconSet" priority="1">
      <iconSet iconSet="3Symbols2" showValue="0">
        <cfvo type="percent" val="0"/>
        <cfvo type="num" val="0" gte="0"/>
        <cfvo type="num" val="1"/>
      </iconSet>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0">
    <pageSetUpPr fitToPage="1"/>
  </sheetPr>
  <dimension ref="A1:GL53"/>
  <sheetViews>
    <sheetView topLeftCell="DV1" zoomScale="85" zoomScaleNormal="85" workbookViewId="0">
      <selection activeCell="D5" sqref="D5"/>
    </sheetView>
  </sheetViews>
  <sheetFormatPr defaultColWidth="9.109375" defaultRowHeight="17.399999999999999" x14ac:dyDescent="0.25"/>
  <cols>
    <col min="1" max="1" width="8.6640625" style="3" customWidth="1"/>
    <col min="2" max="2" width="59.33203125" style="1" bestFit="1" customWidth="1"/>
    <col min="3" max="3" width="2.33203125" style="1" customWidth="1"/>
    <col min="4" max="4" width="9.109375" style="2"/>
    <col min="5" max="18" width="9.109375" style="3"/>
    <col min="19" max="19" width="8.6640625" style="3" customWidth="1"/>
    <col min="20" max="20" width="59.33203125" style="3" customWidth="1"/>
    <col min="21" max="21" width="2.33203125" style="3" customWidth="1"/>
    <col min="22" max="35" width="9.109375" style="3"/>
    <col min="36" max="36" width="9.109375" style="3" customWidth="1"/>
    <col min="37" max="37" width="8.6640625" style="3" customWidth="1"/>
    <col min="38" max="38" width="59.33203125" style="3" customWidth="1"/>
    <col min="39" max="39" width="2.33203125" style="3" customWidth="1"/>
    <col min="40" max="53" width="9.109375" style="3"/>
    <col min="54" max="54" width="9.109375" style="3" customWidth="1"/>
    <col min="55" max="55" width="8.6640625" style="3" customWidth="1"/>
    <col min="56" max="56" width="59.33203125" style="3" customWidth="1"/>
    <col min="57" max="57" width="2.33203125" style="3" customWidth="1"/>
    <col min="58" max="71" width="9.109375" style="3"/>
    <col min="72" max="72" width="9.109375" style="3" customWidth="1"/>
    <col min="73" max="73" width="8.6640625" style="3" customWidth="1"/>
    <col min="74" max="74" width="59.33203125" style="3" customWidth="1"/>
    <col min="75" max="75" width="2.33203125" style="3" customWidth="1"/>
    <col min="76" max="89" width="9.109375" style="3"/>
    <col min="90" max="90" width="9.109375" style="3" customWidth="1"/>
    <col min="91" max="91" width="8.6640625" style="3" customWidth="1"/>
    <col min="92" max="92" width="59.33203125" style="3" customWidth="1"/>
    <col min="93" max="93" width="2.33203125" style="3" customWidth="1"/>
    <col min="94" max="107" width="9.109375" style="3"/>
    <col min="108" max="108" width="9.109375" style="3" customWidth="1"/>
    <col min="109" max="109" width="8.6640625" style="3" customWidth="1"/>
    <col min="110" max="110" width="59.33203125" style="3" customWidth="1"/>
    <col min="111" max="111" width="2.33203125" style="3" customWidth="1"/>
    <col min="112" max="127" width="9.109375" style="3"/>
    <col min="128" max="128" width="9.109375" style="3" customWidth="1"/>
    <col min="129" max="129" width="3.33203125" style="3" customWidth="1"/>
    <col min="130" max="138" width="4.77734375" style="3" customWidth="1"/>
    <col min="139" max="141" width="9.109375" style="3"/>
    <col min="142" max="142" width="14.6640625" style="3" customWidth="1"/>
    <col min="143" max="143" width="9.109375" style="3"/>
    <col min="144" max="144" width="6.6640625" style="3" customWidth="1"/>
    <col min="145" max="150" width="9.109375" style="3"/>
    <col min="151" max="151" width="2.33203125" style="3" customWidth="1"/>
    <col min="152" max="152" width="2.88671875" style="3" customWidth="1"/>
    <col min="153" max="257" width="9.109375" style="3"/>
    <col min="258" max="258" width="3" style="3" customWidth="1"/>
    <col min="259" max="259" width="59.33203125" style="3" bestFit="1" customWidth="1"/>
    <col min="260" max="260" width="2.33203125" style="3" customWidth="1"/>
    <col min="261" max="513" width="9.109375" style="3"/>
    <col min="514" max="514" width="3" style="3" customWidth="1"/>
    <col min="515" max="515" width="59.33203125" style="3" bestFit="1" customWidth="1"/>
    <col min="516" max="516" width="2.33203125" style="3" customWidth="1"/>
    <col min="517" max="769" width="9.109375" style="3"/>
    <col min="770" max="770" width="3" style="3" customWidth="1"/>
    <col min="771" max="771" width="59.33203125" style="3" bestFit="1" customWidth="1"/>
    <col min="772" max="772" width="2.33203125" style="3" customWidth="1"/>
    <col min="773" max="1025" width="9.109375" style="3"/>
    <col min="1026" max="1026" width="3" style="3" customWidth="1"/>
    <col min="1027" max="1027" width="59.33203125" style="3" bestFit="1" customWidth="1"/>
    <col min="1028" max="1028" width="2.33203125" style="3" customWidth="1"/>
    <col min="1029" max="1281" width="9.109375" style="3"/>
    <col min="1282" max="1282" width="3" style="3" customWidth="1"/>
    <col min="1283" max="1283" width="59.33203125" style="3" bestFit="1" customWidth="1"/>
    <col min="1284" max="1284" width="2.33203125" style="3" customWidth="1"/>
    <col min="1285" max="1537" width="9.109375" style="3"/>
    <col min="1538" max="1538" width="3" style="3" customWidth="1"/>
    <col min="1539" max="1539" width="59.33203125" style="3" bestFit="1" customWidth="1"/>
    <col min="1540" max="1540" width="2.33203125" style="3" customWidth="1"/>
    <col min="1541" max="1793" width="9.109375" style="3"/>
    <col min="1794" max="1794" width="3" style="3" customWidth="1"/>
    <col min="1795" max="1795" width="59.33203125" style="3" bestFit="1" customWidth="1"/>
    <col min="1796" max="1796" width="2.33203125" style="3" customWidth="1"/>
    <col min="1797" max="2049" width="9.109375" style="3"/>
    <col min="2050" max="2050" width="3" style="3" customWidth="1"/>
    <col min="2051" max="2051" width="59.33203125" style="3" bestFit="1" customWidth="1"/>
    <col min="2052" max="2052" width="2.33203125" style="3" customWidth="1"/>
    <col min="2053" max="2305" width="9.109375" style="3"/>
    <col min="2306" max="2306" width="3" style="3" customWidth="1"/>
    <col min="2307" max="2307" width="59.33203125" style="3" bestFit="1" customWidth="1"/>
    <col min="2308" max="2308" width="2.33203125" style="3" customWidth="1"/>
    <col min="2309" max="2561" width="9.109375" style="3"/>
    <col min="2562" max="2562" width="3" style="3" customWidth="1"/>
    <col min="2563" max="2563" width="59.33203125" style="3" bestFit="1" customWidth="1"/>
    <col min="2564" max="2564" width="2.33203125" style="3" customWidth="1"/>
    <col min="2565" max="2817" width="9.109375" style="3"/>
    <col min="2818" max="2818" width="3" style="3" customWidth="1"/>
    <col min="2819" max="2819" width="59.33203125" style="3" bestFit="1" customWidth="1"/>
    <col min="2820" max="2820" width="2.33203125" style="3" customWidth="1"/>
    <col min="2821" max="3073" width="9.109375" style="3"/>
    <col min="3074" max="3074" width="3" style="3" customWidth="1"/>
    <col min="3075" max="3075" width="59.33203125" style="3" bestFit="1" customWidth="1"/>
    <col min="3076" max="3076" width="2.33203125" style="3" customWidth="1"/>
    <col min="3077" max="3329" width="9.109375" style="3"/>
    <col min="3330" max="3330" width="3" style="3" customWidth="1"/>
    <col min="3331" max="3331" width="59.33203125" style="3" bestFit="1" customWidth="1"/>
    <col min="3332" max="3332" width="2.33203125" style="3" customWidth="1"/>
    <col min="3333" max="3585" width="9.109375" style="3"/>
    <col min="3586" max="3586" width="3" style="3" customWidth="1"/>
    <col min="3587" max="3587" width="59.33203125" style="3" bestFit="1" customWidth="1"/>
    <col min="3588" max="3588" width="2.33203125" style="3" customWidth="1"/>
    <col min="3589" max="3841" width="9.109375" style="3"/>
    <col min="3842" max="3842" width="3" style="3" customWidth="1"/>
    <col min="3843" max="3843" width="59.33203125" style="3" bestFit="1" customWidth="1"/>
    <col min="3844" max="3844" width="2.33203125" style="3" customWidth="1"/>
    <col min="3845" max="4097" width="9.109375" style="3"/>
    <col min="4098" max="4098" width="3" style="3" customWidth="1"/>
    <col min="4099" max="4099" width="59.33203125" style="3" bestFit="1" customWidth="1"/>
    <col min="4100" max="4100" width="2.33203125" style="3" customWidth="1"/>
    <col min="4101" max="4353" width="9.109375" style="3"/>
    <col min="4354" max="4354" width="3" style="3" customWidth="1"/>
    <col min="4355" max="4355" width="59.33203125" style="3" bestFit="1" customWidth="1"/>
    <col min="4356" max="4356" width="2.33203125" style="3" customWidth="1"/>
    <col min="4357" max="4609" width="9.109375" style="3"/>
    <col min="4610" max="4610" width="3" style="3" customWidth="1"/>
    <col min="4611" max="4611" width="59.33203125" style="3" bestFit="1" customWidth="1"/>
    <col min="4612" max="4612" width="2.33203125" style="3" customWidth="1"/>
    <col min="4613" max="4865" width="9.109375" style="3"/>
    <col min="4866" max="4866" width="3" style="3" customWidth="1"/>
    <col min="4867" max="4867" width="59.33203125" style="3" bestFit="1" customWidth="1"/>
    <col min="4868" max="4868" width="2.33203125" style="3" customWidth="1"/>
    <col min="4869" max="5121" width="9.109375" style="3"/>
    <col min="5122" max="5122" width="3" style="3" customWidth="1"/>
    <col min="5123" max="5123" width="59.33203125" style="3" bestFit="1" customWidth="1"/>
    <col min="5124" max="5124" width="2.33203125" style="3" customWidth="1"/>
    <col min="5125" max="5377" width="9.109375" style="3"/>
    <col min="5378" max="5378" width="3" style="3" customWidth="1"/>
    <col min="5379" max="5379" width="59.33203125" style="3" bestFit="1" customWidth="1"/>
    <col min="5380" max="5380" width="2.33203125" style="3" customWidth="1"/>
    <col min="5381" max="5633" width="9.109375" style="3"/>
    <col min="5634" max="5634" width="3" style="3" customWidth="1"/>
    <col min="5635" max="5635" width="59.33203125" style="3" bestFit="1" customWidth="1"/>
    <col min="5636" max="5636" width="2.33203125" style="3" customWidth="1"/>
    <col min="5637" max="5889" width="9.109375" style="3"/>
    <col min="5890" max="5890" width="3" style="3" customWidth="1"/>
    <col min="5891" max="5891" width="59.33203125" style="3" bestFit="1" customWidth="1"/>
    <col min="5892" max="5892" width="2.33203125" style="3" customWidth="1"/>
    <col min="5893" max="6145" width="9.109375" style="3"/>
    <col min="6146" max="6146" width="3" style="3" customWidth="1"/>
    <col min="6147" max="6147" width="59.33203125" style="3" bestFit="1" customWidth="1"/>
    <col min="6148" max="6148" width="2.33203125" style="3" customWidth="1"/>
    <col min="6149" max="6401" width="9.109375" style="3"/>
    <col min="6402" max="6402" width="3" style="3" customWidth="1"/>
    <col min="6403" max="6403" width="59.33203125" style="3" bestFit="1" customWidth="1"/>
    <col min="6404" max="6404" width="2.33203125" style="3" customWidth="1"/>
    <col min="6405" max="6657" width="9.109375" style="3"/>
    <col min="6658" max="6658" width="3" style="3" customWidth="1"/>
    <col min="6659" max="6659" width="59.33203125" style="3" bestFit="1" customWidth="1"/>
    <col min="6660" max="6660" width="2.33203125" style="3" customWidth="1"/>
    <col min="6661" max="6913" width="9.109375" style="3"/>
    <col min="6914" max="6914" width="3" style="3" customWidth="1"/>
    <col min="6915" max="6915" width="59.33203125" style="3" bestFit="1" customWidth="1"/>
    <col min="6916" max="6916" width="2.33203125" style="3" customWidth="1"/>
    <col min="6917" max="7169" width="9.109375" style="3"/>
    <col min="7170" max="7170" width="3" style="3" customWidth="1"/>
    <col min="7171" max="7171" width="59.33203125" style="3" bestFit="1" customWidth="1"/>
    <col min="7172" max="7172" width="2.33203125" style="3" customWidth="1"/>
    <col min="7173" max="7425" width="9.109375" style="3"/>
    <col min="7426" max="7426" width="3" style="3" customWidth="1"/>
    <col min="7427" max="7427" width="59.33203125" style="3" bestFit="1" customWidth="1"/>
    <col min="7428" max="7428" width="2.33203125" style="3" customWidth="1"/>
    <col min="7429" max="7681" width="9.109375" style="3"/>
    <col min="7682" max="7682" width="3" style="3" customWidth="1"/>
    <col min="7683" max="7683" width="59.33203125" style="3" bestFit="1" customWidth="1"/>
    <col min="7684" max="7684" width="2.33203125" style="3" customWidth="1"/>
    <col min="7685" max="7937" width="9.109375" style="3"/>
    <col min="7938" max="7938" width="3" style="3" customWidth="1"/>
    <col min="7939" max="7939" width="59.33203125" style="3" bestFit="1" customWidth="1"/>
    <col min="7940" max="7940" width="2.33203125" style="3" customWidth="1"/>
    <col min="7941" max="8193" width="9.109375" style="3"/>
    <col min="8194" max="8194" width="3" style="3" customWidth="1"/>
    <col min="8195" max="8195" width="59.33203125" style="3" bestFit="1" customWidth="1"/>
    <col min="8196" max="8196" width="2.33203125" style="3" customWidth="1"/>
    <col min="8197" max="8449" width="9.109375" style="3"/>
    <col min="8450" max="8450" width="3" style="3" customWidth="1"/>
    <col min="8451" max="8451" width="59.33203125" style="3" bestFit="1" customWidth="1"/>
    <col min="8452" max="8452" width="2.33203125" style="3" customWidth="1"/>
    <col min="8453" max="8705" width="9.109375" style="3"/>
    <col min="8706" max="8706" width="3" style="3" customWidth="1"/>
    <col min="8707" max="8707" width="59.33203125" style="3" bestFit="1" customWidth="1"/>
    <col min="8708" max="8708" width="2.33203125" style="3" customWidth="1"/>
    <col min="8709" max="8961" width="9.109375" style="3"/>
    <col min="8962" max="8962" width="3" style="3" customWidth="1"/>
    <col min="8963" max="8963" width="59.33203125" style="3" bestFit="1" customWidth="1"/>
    <col min="8964" max="8964" width="2.33203125" style="3" customWidth="1"/>
    <col min="8965" max="9217" width="9.109375" style="3"/>
    <col min="9218" max="9218" width="3" style="3" customWidth="1"/>
    <col min="9219" max="9219" width="59.33203125" style="3" bestFit="1" customWidth="1"/>
    <col min="9220" max="9220" width="2.33203125" style="3" customWidth="1"/>
    <col min="9221" max="9473" width="9.109375" style="3"/>
    <col min="9474" max="9474" width="3" style="3" customWidth="1"/>
    <col min="9475" max="9475" width="59.33203125" style="3" bestFit="1" customWidth="1"/>
    <col min="9476" max="9476" width="2.33203125" style="3" customWidth="1"/>
    <col min="9477" max="9729" width="9.109375" style="3"/>
    <col min="9730" max="9730" width="3" style="3" customWidth="1"/>
    <col min="9731" max="9731" width="59.33203125" style="3" bestFit="1" customWidth="1"/>
    <col min="9732" max="9732" width="2.33203125" style="3" customWidth="1"/>
    <col min="9733" max="9985" width="9.109375" style="3"/>
    <col min="9986" max="9986" width="3" style="3" customWidth="1"/>
    <col min="9987" max="9987" width="59.33203125" style="3" bestFit="1" customWidth="1"/>
    <col min="9988" max="9988" width="2.33203125" style="3" customWidth="1"/>
    <col min="9989" max="10241" width="9.109375" style="3"/>
    <col min="10242" max="10242" width="3" style="3" customWidth="1"/>
    <col min="10243" max="10243" width="59.33203125" style="3" bestFit="1" customWidth="1"/>
    <col min="10244" max="10244" width="2.33203125" style="3" customWidth="1"/>
    <col min="10245" max="10497" width="9.109375" style="3"/>
    <col min="10498" max="10498" width="3" style="3" customWidth="1"/>
    <col min="10499" max="10499" width="59.33203125" style="3" bestFit="1" customWidth="1"/>
    <col min="10500" max="10500" width="2.33203125" style="3" customWidth="1"/>
    <col min="10501" max="10753" width="9.109375" style="3"/>
    <col min="10754" max="10754" width="3" style="3" customWidth="1"/>
    <col min="10755" max="10755" width="59.33203125" style="3" bestFit="1" customWidth="1"/>
    <col min="10756" max="10756" width="2.33203125" style="3" customWidth="1"/>
    <col min="10757" max="11009" width="9.109375" style="3"/>
    <col min="11010" max="11010" width="3" style="3" customWidth="1"/>
    <col min="11011" max="11011" width="59.33203125" style="3" bestFit="1" customWidth="1"/>
    <col min="11012" max="11012" width="2.33203125" style="3" customWidth="1"/>
    <col min="11013" max="11265" width="9.109375" style="3"/>
    <col min="11266" max="11266" width="3" style="3" customWidth="1"/>
    <col min="11267" max="11267" width="59.33203125" style="3" bestFit="1" customWidth="1"/>
    <col min="11268" max="11268" width="2.33203125" style="3" customWidth="1"/>
    <col min="11269" max="11521" width="9.109375" style="3"/>
    <col min="11522" max="11522" width="3" style="3" customWidth="1"/>
    <col min="11523" max="11523" width="59.33203125" style="3" bestFit="1" customWidth="1"/>
    <col min="11524" max="11524" width="2.33203125" style="3" customWidth="1"/>
    <col min="11525" max="11777" width="9.109375" style="3"/>
    <col min="11778" max="11778" width="3" style="3" customWidth="1"/>
    <col min="11779" max="11779" width="59.33203125" style="3" bestFit="1" customWidth="1"/>
    <col min="11780" max="11780" width="2.33203125" style="3" customWidth="1"/>
    <col min="11781" max="12033" width="9.109375" style="3"/>
    <col min="12034" max="12034" width="3" style="3" customWidth="1"/>
    <col min="12035" max="12035" width="59.33203125" style="3" bestFit="1" customWidth="1"/>
    <col min="12036" max="12036" width="2.33203125" style="3" customWidth="1"/>
    <col min="12037" max="12289" width="9.109375" style="3"/>
    <col min="12290" max="12290" width="3" style="3" customWidth="1"/>
    <col min="12291" max="12291" width="59.33203125" style="3" bestFit="1" customWidth="1"/>
    <col min="12292" max="12292" width="2.33203125" style="3" customWidth="1"/>
    <col min="12293" max="12545" width="9.109375" style="3"/>
    <col min="12546" max="12546" width="3" style="3" customWidth="1"/>
    <col min="12547" max="12547" width="59.33203125" style="3" bestFit="1" customWidth="1"/>
    <col min="12548" max="12548" width="2.33203125" style="3" customWidth="1"/>
    <col min="12549" max="12801" width="9.109375" style="3"/>
    <col min="12802" max="12802" width="3" style="3" customWidth="1"/>
    <col min="12803" max="12803" width="59.33203125" style="3" bestFit="1" customWidth="1"/>
    <col min="12804" max="12804" width="2.33203125" style="3" customWidth="1"/>
    <col min="12805" max="13057" width="9.109375" style="3"/>
    <col min="13058" max="13058" width="3" style="3" customWidth="1"/>
    <col min="13059" max="13059" width="59.33203125" style="3" bestFit="1" customWidth="1"/>
    <col min="13060" max="13060" width="2.33203125" style="3" customWidth="1"/>
    <col min="13061" max="13313" width="9.109375" style="3"/>
    <col min="13314" max="13314" width="3" style="3" customWidth="1"/>
    <col min="13315" max="13315" width="59.33203125" style="3" bestFit="1" customWidth="1"/>
    <col min="13316" max="13316" width="2.33203125" style="3" customWidth="1"/>
    <col min="13317" max="13569" width="9.109375" style="3"/>
    <col min="13570" max="13570" width="3" style="3" customWidth="1"/>
    <col min="13571" max="13571" width="59.33203125" style="3" bestFit="1" customWidth="1"/>
    <col min="13572" max="13572" width="2.33203125" style="3" customWidth="1"/>
    <col min="13573" max="13825" width="9.109375" style="3"/>
    <col min="13826" max="13826" width="3" style="3" customWidth="1"/>
    <col min="13827" max="13827" width="59.33203125" style="3" bestFit="1" customWidth="1"/>
    <col min="13828" max="13828" width="2.33203125" style="3" customWidth="1"/>
    <col min="13829" max="14081" width="9.109375" style="3"/>
    <col min="14082" max="14082" width="3" style="3" customWidth="1"/>
    <col min="14083" max="14083" width="59.33203125" style="3" bestFit="1" customWidth="1"/>
    <col min="14084" max="14084" width="2.33203125" style="3" customWidth="1"/>
    <col min="14085" max="14337" width="9.109375" style="3"/>
    <col min="14338" max="14338" width="3" style="3" customWidth="1"/>
    <col min="14339" max="14339" width="59.33203125" style="3" bestFit="1" customWidth="1"/>
    <col min="14340" max="14340" width="2.33203125" style="3" customWidth="1"/>
    <col min="14341" max="14593" width="9.109375" style="3"/>
    <col min="14594" max="14594" width="3" style="3" customWidth="1"/>
    <col min="14595" max="14595" width="59.33203125" style="3" bestFit="1" customWidth="1"/>
    <col min="14596" max="14596" width="2.33203125" style="3" customWidth="1"/>
    <col min="14597" max="14849" width="9.109375" style="3"/>
    <col min="14850" max="14850" width="3" style="3" customWidth="1"/>
    <col min="14851" max="14851" width="59.33203125" style="3" bestFit="1" customWidth="1"/>
    <col min="14852" max="14852" width="2.33203125" style="3" customWidth="1"/>
    <col min="14853" max="15105" width="9.109375" style="3"/>
    <col min="15106" max="15106" width="3" style="3" customWidth="1"/>
    <col min="15107" max="15107" width="59.33203125" style="3" bestFit="1" customWidth="1"/>
    <col min="15108" max="15108" width="2.33203125" style="3" customWidth="1"/>
    <col min="15109" max="15361" width="9.109375" style="3"/>
    <col min="15362" max="15362" width="3" style="3" customWidth="1"/>
    <col min="15363" max="15363" width="59.33203125" style="3" bestFit="1" customWidth="1"/>
    <col min="15364" max="15364" width="2.33203125" style="3" customWidth="1"/>
    <col min="15365" max="15617" width="9.109375" style="3"/>
    <col min="15618" max="15618" width="3" style="3" customWidth="1"/>
    <col min="15619" max="15619" width="59.33203125" style="3" bestFit="1" customWidth="1"/>
    <col min="15620" max="15620" width="2.33203125" style="3" customWidth="1"/>
    <col min="15621" max="15873" width="9.109375" style="3"/>
    <col min="15874" max="15874" width="3" style="3" customWidth="1"/>
    <col min="15875" max="15875" width="59.33203125" style="3" bestFit="1" customWidth="1"/>
    <col min="15876" max="15876" width="2.33203125" style="3" customWidth="1"/>
    <col min="15877" max="16129" width="9.109375" style="3"/>
    <col min="16130" max="16130" width="3" style="3" customWidth="1"/>
    <col min="16131" max="16131" width="59.33203125" style="3" bestFit="1" customWidth="1"/>
    <col min="16132" max="16132" width="2.33203125" style="3" customWidth="1"/>
    <col min="16133" max="16384" width="9.109375" style="3"/>
  </cols>
  <sheetData>
    <row r="1" spans="1:194" x14ac:dyDescent="0.3">
      <c r="T1" s="1"/>
      <c r="U1" s="1"/>
      <c r="V1" s="2"/>
      <c r="AJ1" s="4"/>
      <c r="AK1" s="4"/>
      <c r="AL1" s="5"/>
      <c r="AM1" s="5"/>
      <c r="AN1" s="6"/>
      <c r="AO1" s="4"/>
      <c r="AP1" s="4"/>
      <c r="AQ1" s="4"/>
      <c r="AR1" s="4"/>
      <c r="AS1" s="4"/>
      <c r="AT1" s="4"/>
      <c r="AU1" s="4"/>
      <c r="AV1" s="4"/>
      <c r="AW1" s="4"/>
      <c r="AX1" s="4"/>
      <c r="AY1" s="4"/>
      <c r="BB1" s="4"/>
      <c r="BC1" s="4"/>
      <c r="BD1" s="5"/>
      <c r="BE1" s="5"/>
      <c r="BF1" s="6"/>
      <c r="BG1" s="4"/>
      <c r="BH1" s="4"/>
      <c r="BI1" s="4"/>
      <c r="BJ1" s="4"/>
      <c r="BK1" s="4"/>
      <c r="BL1" s="4"/>
      <c r="BM1" s="4"/>
      <c r="BN1" s="4"/>
      <c r="BO1" s="4"/>
      <c r="BP1" s="4"/>
      <c r="BQ1" s="4"/>
      <c r="BT1" s="4"/>
      <c r="BU1" s="4"/>
      <c r="BV1" s="5"/>
      <c r="BW1" s="5"/>
      <c r="BX1" s="6"/>
      <c r="BY1" s="4"/>
      <c r="BZ1" s="4"/>
      <c r="CA1" s="4"/>
      <c r="CB1" s="4"/>
      <c r="CC1" s="4"/>
      <c r="CD1" s="4"/>
      <c r="CE1" s="4"/>
      <c r="CF1" s="4"/>
      <c r="CG1" s="4"/>
      <c r="CH1" s="4"/>
      <c r="CI1" s="4"/>
      <c r="CL1" s="4"/>
      <c r="CM1" s="4"/>
      <c r="CN1" s="5"/>
      <c r="CO1" s="5"/>
      <c r="CP1" s="6"/>
      <c r="CQ1" s="4"/>
      <c r="CR1" s="4"/>
      <c r="CS1" s="4"/>
      <c r="CT1" s="4"/>
      <c r="CU1" s="4"/>
      <c r="CV1" s="4"/>
      <c r="CW1" s="4"/>
      <c r="CX1" s="4"/>
      <c r="CY1" s="4"/>
      <c r="CZ1" s="4"/>
      <c r="DA1" s="4"/>
      <c r="DD1" s="4"/>
      <c r="DE1" s="4"/>
      <c r="DF1" s="5"/>
      <c r="DG1" s="5"/>
      <c r="DH1" s="6"/>
      <c r="DI1" s="4"/>
      <c r="DJ1" s="4"/>
      <c r="DK1" s="4"/>
      <c r="DL1" s="4"/>
      <c r="DM1" s="4"/>
      <c r="DN1" s="4"/>
      <c r="DO1" s="4"/>
      <c r="DP1" s="4"/>
      <c r="DQ1" s="4"/>
      <c r="DR1" s="4"/>
      <c r="DS1" s="4"/>
      <c r="DW1" s="24"/>
      <c r="DX1" s="57"/>
      <c r="DY1" s="57"/>
      <c r="DZ1" s="57"/>
      <c r="EA1" s="57"/>
      <c r="EB1" s="57"/>
      <c r="EC1" s="57"/>
      <c r="ED1" s="57"/>
      <c r="EE1" s="57"/>
      <c r="EF1" s="57"/>
      <c r="EG1" s="57"/>
      <c r="EH1" s="57"/>
      <c r="EI1" s="57"/>
      <c r="EJ1" s="58"/>
      <c r="EK1" s="58"/>
      <c r="EL1" s="58"/>
      <c r="EM1" s="58"/>
      <c r="EN1" s="58"/>
    </row>
    <row r="2" spans="1:194" ht="17.399999999999999" customHeight="1" x14ac:dyDescent="0.3">
      <c r="S2" s="4"/>
      <c r="T2" s="5"/>
      <c r="U2" s="5"/>
      <c r="V2" s="6"/>
      <c r="W2" s="4"/>
      <c r="X2" s="4"/>
      <c r="Y2" s="4"/>
      <c r="Z2" s="4"/>
      <c r="AA2" s="4"/>
      <c r="AB2" s="4"/>
      <c r="AC2" s="4"/>
      <c r="AD2" s="4"/>
      <c r="AE2" s="4"/>
      <c r="AF2" s="4"/>
      <c r="AG2" s="4"/>
      <c r="AJ2" s="4"/>
      <c r="AK2" s="4"/>
      <c r="AL2" s="5"/>
      <c r="AM2" s="5"/>
      <c r="AN2" s="6"/>
      <c r="AO2" s="4"/>
      <c r="AP2" s="4"/>
      <c r="AQ2" s="4"/>
      <c r="AR2" s="4"/>
      <c r="AS2" s="4"/>
      <c r="AT2" s="4"/>
      <c r="AU2" s="4"/>
      <c r="AV2" s="4"/>
      <c r="AW2" s="4"/>
      <c r="AX2" s="4"/>
      <c r="AY2" s="4"/>
      <c r="BB2" s="4"/>
      <c r="BC2" s="4"/>
      <c r="BD2" s="5"/>
      <c r="BE2" s="5"/>
      <c r="BF2" s="6"/>
      <c r="BG2" s="4"/>
      <c r="BH2" s="4"/>
      <c r="BI2" s="4"/>
      <c r="BJ2" s="4"/>
      <c r="BK2" s="4"/>
      <c r="BL2" s="4"/>
      <c r="BM2" s="4"/>
      <c r="BN2" s="4"/>
      <c r="BO2" s="4"/>
      <c r="BP2" s="4"/>
      <c r="BQ2" s="4"/>
      <c r="BT2" s="4"/>
      <c r="BU2" s="4"/>
      <c r="BV2" s="5"/>
      <c r="BW2" s="5"/>
      <c r="BX2" s="6"/>
      <c r="BY2" s="4"/>
      <c r="BZ2" s="4"/>
      <c r="CA2" s="4"/>
      <c r="CB2" s="4"/>
      <c r="CC2" s="4"/>
      <c r="CD2" s="4"/>
      <c r="CE2" s="4"/>
      <c r="CF2" s="4"/>
      <c r="CG2" s="4"/>
      <c r="CH2" s="4"/>
      <c r="CI2" s="4"/>
      <c r="CL2" s="4"/>
      <c r="CM2" s="4"/>
      <c r="CN2" s="5"/>
      <c r="CO2" s="5"/>
      <c r="CP2" s="6"/>
      <c r="CQ2" s="4"/>
      <c r="CR2" s="4"/>
      <c r="CS2" s="4"/>
      <c r="CT2" s="4"/>
      <c r="CU2" s="4"/>
      <c r="CV2" s="4"/>
      <c r="CW2" s="4"/>
      <c r="CX2" s="4"/>
      <c r="CY2" s="4"/>
      <c r="CZ2" s="4"/>
      <c r="DA2" s="4"/>
      <c r="DD2" s="4"/>
      <c r="DE2" s="4"/>
      <c r="DF2" s="5"/>
      <c r="DG2" s="5"/>
      <c r="DH2" s="6"/>
      <c r="DI2" s="4"/>
      <c r="DJ2" s="4"/>
      <c r="DK2" s="4"/>
      <c r="DL2" s="4"/>
      <c r="DM2" s="4"/>
      <c r="DN2" s="4"/>
      <c r="DO2" s="4"/>
      <c r="DP2" s="4"/>
      <c r="DQ2" s="4"/>
      <c r="DR2" s="4"/>
      <c r="DS2" s="4"/>
      <c r="DW2" s="27"/>
      <c r="DX2" s="59"/>
      <c r="DY2" s="59"/>
      <c r="DZ2" s="59"/>
      <c r="EA2" s="59"/>
      <c r="EB2" s="59"/>
      <c r="EC2" s="59"/>
      <c r="ED2" s="59"/>
      <c r="EE2" s="59"/>
      <c r="EF2" s="59"/>
      <c r="EG2" s="59"/>
      <c r="EH2" s="59"/>
      <c r="EI2" s="59"/>
      <c r="EJ2" s="58"/>
      <c r="EK2" s="58"/>
      <c r="EL2" s="58"/>
      <c r="EM2" s="58"/>
      <c r="EN2" s="58"/>
    </row>
    <row r="3" spans="1:194" s="9" customFormat="1" ht="34.950000000000003" customHeight="1" x14ac:dyDescent="0.3">
      <c r="A3" s="53" t="s">
        <v>154</v>
      </c>
      <c r="B3" s="7" t="s">
        <v>0</v>
      </c>
      <c r="C3" s="8"/>
      <c r="D3" s="2"/>
      <c r="S3" s="53" t="s">
        <v>155</v>
      </c>
      <c r="T3" s="140" t="s">
        <v>12</v>
      </c>
      <c r="U3" s="140"/>
      <c r="V3" s="140"/>
      <c r="W3" s="140"/>
      <c r="X3" s="10"/>
      <c r="Y3" s="10"/>
      <c r="Z3" s="10"/>
      <c r="AA3" s="10"/>
      <c r="AB3" s="10"/>
      <c r="AC3" s="10"/>
      <c r="AD3" s="10"/>
      <c r="AE3" s="10"/>
      <c r="AF3" s="10"/>
      <c r="AG3" s="10"/>
      <c r="AJ3" s="10"/>
      <c r="AK3" s="53" t="s">
        <v>156</v>
      </c>
      <c r="AL3" s="11" t="s">
        <v>22</v>
      </c>
      <c r="AM3" s="12"/>
      <c r="AN3" s="6"/>
      <c r="AO3" s="10"/>
      <c r="AP3" s="10"/>
      <c r="AQ3" s="10"/>
      <c r="AR3" s="10"/>
      <c r="AS3" s="10"/>
      <c r="AT3" s="10"/>
      <c r="AU3" s="10"/>
      <c r="AV3" s="10"/>
      <c r="AW3" s="10"/>
      <c r="AX3" s="10"/>
      <c r="AY3" s="10"/>
      <c r="BB3" s="10"/>
      <c r="BC3" s="53" t="s">
        <v>157</v>
      </c>
      <c r="BD3" s="141" t="s">
        <v>32</v>
      </c>
      <c r="BE3" s="141"/>
      <c r="BF3" s="141"/>
      <c r="BG3" s="10"/>
      <c r="BH3" s="10"/>
      <c r="BI3" s="10"/>
      <c r="BJ3" s="10"/>
      <c r="BK3" s="10"/>
      <c r="BL3" s="10"/>
      <c r="BM3" s="10"/>
      <c r="BN3" s="10"/>
      <c r="BO3" s="10"/>
      <c r="BP3" s="10"/>
      <c r="BQ3" s="10"/>
      <c r="BT3" s="13"/>
      <c r="BU3" s="53" t="s">
        <v>158</v>
      </c>
      <c r="BV3" s="11" t="s">
        <v>42</v>
      </c>
      <c r="BW3" s="14"/>
      <c r="BX3" s="6"/>
      <c r="BY3" s="13"/>
      <c r="BZ3" s="13"/>
      <c r="CA3" s="13"/>
      <c r="CB3" s="13"/>
      <c r="CC3" s="13"/>
      <c r="CD3" s="13"/>
      <c r="CE3" s="13"/>
      <c r="CF3" s="13"/>
      <c r="CG3" s="13"/>
      <c r="CH3" s="13"/>
      <c r="CI3" s="13"/>
      <c r="CL3" s="13"/>
      <c r="CM3" s="53" t="s">
        <v>159</v>
      </c>
      <c r="CN3" s="141" t="s">
        <v>52</v>
      </c>
      <c r="CO3" s="141"/>
      <c r="CP3" s="141"/>
      <c r="CQ3" s="141"/>
      <c r="CR3" s="11"/>
      <c r="CS3" s="11"/>
      <c r="CT3" s="11"/>
      <c r="CU3" s="13"/>
      <c r="CV3" s="13"/>
      <c r="CW3" s="13"/>
      <c r="CX3" s="13"/>
      <c r="CY3" s="13"/>
      <c r="CZ3" s="13"/>
      <c r="DA3" s="13"/>
      <c r="DD3" s="13"/>
      <c r="DE3" s="53" t="s">
        <v>160</v>
      </c>
      <c r="DF3" s="141" t="s">
        <v>62</v>
      </c>
      <c r="DG3" s="141"/>
      <c r="DH3" s="141"/>
      <c r="DI3" s="141"/>
      <c r="DJ3" s="11"/>
      <c r="DK3" s="11"/>
      <c r="DL3" s="13"/>
      <c r="DM3" s="13"/>
      <c r="DN3" s="13"/>
      <c r="DO3" s="13"/>
      <c r="DP3" s="13"/>
      <c r="DQ3" s="13"/>
      <c r="DR3" s="13"/>
      <c r="DS3" s="13"/>
      <c r="DW3" s="27"/>
      <c r="DX3" s="142" t="str">
        <f>CONCATENATE("Results Belbin test per section of ",Start!C1)</f>
        <v>Results Belbin test per section of SON CAO</v>
      </c>
      <c r="DY3" s="142"/>
      <c r="DZ3" s="142"/>
      <c r="EA3" s="142"/>
      <c r="EB3" s="142"/>
      <c r="EC3" s="142"/>
      <c r="ED3" s="142"/>
      <c r="EE3" s="142"/>
      <c r="EF3" s="142"/>
      <c r="EG3" s="142"/>
      <c r="EH3" s="142"/>
      <c r="EI3" s="59"/>
      <c r="EJ3" s="60"/>
      <c r="EK3" s="60"/>
      <c r="EL3" s="60"/>
      <c r="EM3" s="60"/>
      <c r="EN3" s="60"/>
    </row>
    <row r="4" spans="1:194" ht="18" thickBot="1" x14ac:dyDescent="0.35">
      <c r="S4" s="4"/>
      <c r="T4" s="15"/>
      <c r="U4" s="15"/>
      <c r="V4" s="6"/>
      <c r="W4" s="4"/>
      <c r="X4" s="4"/>
      <c r="Y4" s="4"/>
      <c r="Z4" s="4"/>
      <c r="AA4" s="4"/>
      <c r="AB4" s="4"/>
      <c r="AC4" s="4"/>
      <c r="AD4" s="4"/>
      <c r="AE4" s="4"/>
      <c r="AF4" s="4"/>
      <c r="AG4" s="4"/>
      <c r="AJ4" s="4"/>
      <c r="AK4" s="4"/>
      <c r="AL4" s="15"/>
      <c r="AM4" s="15"/>
      <c r="AN4" s="6"/>
      <c r="AO4" s="4"/>
      <c r="AP4" s="4"/>
      <c r="AQ4" s="4"/>
      <c r="AR4" s="4"/>
      <c r="AS4" s="4"/>
      <c r="AT4" s="4"/>
      <c r="AU4" s="4"/>
      <c r="AV4" s="4"/>
      <c r="AW4" s="4"/>
      <c r="AX4" s="4"/>
      <c r="AY4" s="4"/>
      <c r="BB4" s="4"/>
      <c r="BC4" s="4"/>
      <c r="BD4" s="15"/>
      <c r="BE4" s="15"/>
      <c r="BF4" s="6"/>
      <c r="BG4" s="4"/>
      <c r="BH4" s="4"/>
      <c r="BI4" s="4"/>
      <c r="BJ4" s="4"/>
      <c r="BK4" s="4"/>
      <c r="BL4" s="4"/>
      <c r="BM4" s="4"/>
      <c r="BN4" s="4"/>
      <c r="BO4" s="4"/>
      <c r="BP4" s="4"/>
      <c r="BQ4" s="4"/>
      <c r="BT4" s="4"/>
      <c r="BU4" s="4"/>
      <c r="BV4" s="15"/>
      <c r="BW4" s="15"/>
      <c r="BX4" s="6"/>
      <c r="BY4" s="4"/>
      <c r="BZ4" s="4"/>
      <c r="CA4" s="4"/>
      <c r="CB4" s="4"/>
      <c r="CC4" s="4"/>
      <c r="CD4" s="4"/>
      <c r="CE4" s="4"/>
      <c r="CF4" s="4"/>
      <c r="CG4" s="4"/>
      <c r="CH4" s="4"/>
      <c r="CI4" s="4"/>
      <c r="CL4" s="4"/>
      <c r="CM4" s="4"/>
      <c r="CN4" s="15"/>
      <c r="CO4" s="15"/>
      <c r="CP4" s="6"/>
      <c r="CQ4" s="4"/>
      <c r="CR4" s="4"/>
      <c r="CS4" s="4"/>
      <c r="CT4" s="4"/>
      <c r="CU4" s="4"/>
      <c r="CV4" s="4"/>
      <c r="CW4" s="4"/>
      <c r="CX4" s="4"/>
      <c r="CY4" s="4"/>
      <c r="CZ4" s="4"/>
      <c r="DA4" s="4"/>
      <c r="DD4" s="4"/>
      <c r="DE4" s="4"/>
      <c r="DF4" s="15"/>
      <c r="DG4" s="15"/>
      <c r="DH4" s="6"/>
      <c r="DI4" s="4"/>
      <c r="DJ4" s="4"/>
      <c r="DK4" s="4"/>
      <c r="DL4" s="4"/>
      <c r="DM4" s="4"/>
      <c r="DN4" s="4"/>
      <c r="DO4" s="4"/>
      <c r="DP4" s="4"/>
      <c r="DQ4" s="4"/>
      <c r="DR4" s="4"/>
      <c r="DS4" s="4"/>
      <c r="DW4" s="27"/>
      <c r="DX4" s="137" t="s">
        <v>72</v>
      </c>
      <c r="DY4" s="138"/>
      <c r="DZ4" s="137" t="s">
        <v>73</v>
      </c>
      <c r="EA4" s="139"/>
      <c r="EB4" s="139"/>
      <c r="EC4" s="139"/>
      <c r="ED4" s="139"/>
      <c r="EE4" s="139"/>
      <c r="EF4" s="139"/>
      <c r="EG4" s="139"/>
      <c r="EH4" s="138"/>
      <c r="EI4" s="59"/>
      <c r="EJ4" s="59"/>
      <c r="EK4" s="130" t="s">
        <v>81</v>
      </c>
      <c r="EL4" s="131"/>
      <c r="EM4" s="131"/>
      <c r="EN4" s="132"/>
      <c r="EU4" s="28"/>
      <c r="EV4" s="28" t="str">
        <f>Start!C1</f>
        <v>SON CAO</v>
      </c>
    </row>
    <row r="5" spans="1:194" s="17" customFormat="1" ht="31.95" customHeight="1" thickTop="1" thickBot="1" x14ac:dyDescent="0.35">
      <c r="B5" s="16" t="s">
        <v>1</v>
      </c>
      <c r="C5" s="16"/>
      <c r="D5" s="41">
        <v>2</v>
      </c>
      <c r="F5" s="133" t="s">
        <v>2</v>
      </c>
      <c r="G5" s="134"/>
      <c r="H5" s="134"/>
      <c r="I5" s="134"/>
      <c r="J5" s="134"/>
      <c r="K5" s="134"/>
      <c r="L5" s="134"/>
      <c r="M5" s="134"/>
      <c r="N5" s="134"/>
      <c r="S5" s="18"/>
      <c r="T5" s="19" t="s">
        <v>13</v>
      </c>
      <c r="U5" s="19"/>
      <c r="V5" s="41"/>
      <c r="W5" s="18"/>
      <c r="X5" s="135" t="s">
        <v>2</v>
      </c>
      <c r="Y5" s="136"/>
      <c r="Z5" s="136"/>
      <c r="AA5" s="136"/>
      <c r="AB5" s="136"/>
      <c r="AC5" s="136"/>
      <c r="AD5" s="136"/>
      <c r="AE5" s="136"/>
      <c r="AF5" s="136"/>
      <c r="AG5" s="18"/>
      <c r="AJ5" s="18"/>
      <c r="AK5" s="18"/>
      <c r="AL5" s="19" t="s">
        <v>23</v>
      </c>
      <c r="AM5" s="19"/>
      <c r="AN5" s="41"/>
      <c r="AO5" s="18"/>
      <c r="AP5" s="135" t="s">
        <v>2</v>
      </c>
      <c r="AQ5" s="136"/>
      <c r="AR5" s="136"/>
      <c r="AS5" s="136"/>
      <c r="AT5" s="136"/>
      <c r="AU5" s="136"/>
      <c r="AV5" s="136"/>
      <c r="AW5" s="136"/>
      <c r="AX5" s="136"/>
      <c r="AY5" s="18"/>
      <c r="BB5" s="18"/>
      <c r="BC5" s="18"/>
      <c r="BD5" s="19" t="s">
        <v>33</v>
      </c>
      <c r="BE5" s="19"/>
      <c r="BF5" s="41"/>
      <c r="BG5" s="18"/>
      <c r="BH5" s="135" t="s">
        <v>2</v>
      </c>
      <c r="BI5" s="136"/>
      <c r="BJ5" s="136"/>
      <c r="BK5" s="136"/>
      <c r="BL5" s="136"/>
      <c r="BM5" s="136"/>
      <c r="BN5" s="136"/>
      <c r="BO5" s="136"/>
      <c r="BP5" s="136"/>
      <c r="BQ5" s="18"/>
      <c r="BT5" s="18"/>
      <c r="BU5" s="18"/>
      <c r="BV5" s="19" t="s">
        <v>43</v>
      </c>
      <c r="BW5" s="19"/>
      <c r="BX5" s="41"/>
      <c r="BY5" s="18"/>
      <c r="BZ5" s="135" t="s">
        <v>2</v>
      </c>
      <c r="CA5" s="136"/>
      <c r="CB5" s="136"/>
      <c r="CC5" s="136"/>
      <c r="CD5" s="136"/>
      <c r="CE5" s="136"/>
      <c r="CF5" s="136"/>
      <c r="CG5" s="136"/>
      <c r="CH5" s="136"/>
      <c r="CI5" s="18"/>
      <c r="CL5" s="18"/>
      <c r="CM5" s="18"/>
      <c r="CN5" s="19" t="s">
        <v>53</v>
      </c>
      <c r="CO5" s="19"/>
      <c r="CP5" s="41"/>
      <c r="CQ5" s="18"/>
      <c r="CR5" s="135" t="s">
        <v>2</v>
      </c>
      <c r="CS5" s="136"/>
      <c r="CT5" s="136"/>
      <c r="CU5" s="136"/>
      <c r="CV5" s="136"/>
      <c r="CW5" s="136"/>
      <c r="CX5" s="136"/>
      <c r="CY5" s="136"/>
      <c r="CZ5" s="136"/>
      <c r="DA5" s="18"/>
      <c r="DD5" s="4"/>
      <c r="DE5" s="4"/>
      <c r="DF5" s="15" t="s">
        <v>63</v>
      </c>
      <c r="DG5" s="15"/>
      <c r="DH5" s="41"/>
      <c r="DI5" s="4"/>
      <c r="DJ5" s="135" t="s">
        <v>2</v>
      </c>
      <c r="DK5" s="136"/>
      <c r="DL5" s="136"/>
      <c r="DM5" s="136"/>
      <c r="DN5" s="136"/>
      <c r="DO5" s="136"/>
      <c r="DP5" s="136"/>
      <c r="DQ5" s="136"/>
      <c r="DR5" s="136"/>
      <c r="DS5" s="4"/>
      <c r="DW5" s="27"/>
      <c r="DX5" s="56" t="s">
        <v>74</v>
      </c>
      <c r="DY5" s="56"/>
      <c r="DZ5" s="80">
        <f>D9</f>
        <v>2</v>
      </c>
      <c r="EA5" s="80">
        <f>D13</f>
        <v>1</v>
      </c>
      <c r="EB5" s="80">
        <f>D21</f>
        <v>0</v>
      </c>
      <c r="EC5" s="80">
        <f>D19</f>
        <v>1</v>
      </c>
      <c r="ED5" s="80">
        <f>D5</f>
        <v>2</v>
      </c>
      <c r="EE5" s="80">
        <f>D17</f>
        <v>0</v>
      </c>
      <c r="EF5" s="80">
        <f>D7</f>
        <v>1</v>
      </c>
      <c r="EG5" s="80">
        <f>D11</f>
        <v>2</v>
      </c>
      <c r="EH5" s="80">
        <f>D15</f>
        <v>1</v>
      </c>
      <c r="EI5" s="59"/>
      <c r="EJ5" s="61"/>
      <c r="EK5" s="62" t="s">
        <v>82</v>
      </c>
      <c r="EL5" s="63"/>
      <c r="EM5" s="64">
        <f>DZ19</f>
        <v>2</v>
      </c>
      <c r="EN5" s="65"/>
      <c r="EO5" s="26"/>
      <c r="EU5" s="54" t="str">
        <f>EK5</f>
        <v>Implementor</v>
      </c>
      <c r="EV5" s="54">
        <f>EM5</f>
        <v>2</v>
      </c>
    </row>
    <row r="6" spans="1:194" ht="4.95" customHeight="1" thickTop="1" thickBot="1" x14ac:dyDescent="0.35">
      <c r="F6" s="134"/>
      <c r="G6" s="134"/>
      <c r="H6" s="134"/>
      <c r="I6" s="134"/>
      <c r="J6" s="134"/>
      <c r="K6" s="134"/>
      <c r="L6" s="134"/>
      <c r="M6" s="134"/>
      <c r="N6" s="134"/>
      <c r="S6" s="4"/>
      <c r="T6" s="15"/>
      <c r="U6" s="15"/>
      <c r="V6" s="2"/>
      <c r="W6" s="4"/>
      <c r="X6" s="136"/>
      <c r="Y6" s="136"/>
      <c r="Z6" s="136"/>
      <c r="AA6" s="136"/>
      <c r="AB6" s="136"/>
      <c r="AC6" s="136"/>
      <c r="AD6" s="136"/>
      <c r="AE6" s="136"/>
      <c r="AF6" s="136"/>
      <c r="AG6" s="4"/>
      <c r="AJ6" s="4"/>
      <c r="AK6" s="4"/>
      <c r="AL6" s="15"/>
      <c r="AM6" s="15"/>
      <c r="AN6" s="2"/>
      <c r="AO6" s="4"/>
      <c r="AP6" s="136"/>
      <c r="AQ6" s="136"/>
      <c r="AR6" s="136"/>
      <c r="AS6" s="136"/>
      <c r="AT6" s="136"/>
      <c r="AU6" s="136"/>
      <c r="AV6" s="136"/>
      <c r="AW6" s="136"/>
      <c r="AX6" s="136"/>
      <c r="AY6" s="4"/>
      <c r="BB6" s="4"/>
      <c r="BC6" s="4"/>
      <c r="BD6" s="15"/>
      <c r="BE6" s="15"/>
      <c r="BF6" s="2"/>
      <c r="BG6" s="4"/>
      <c r="BH6" s="136"/>
      <c r="BI6" s="136"/>
      <c r="BJ6" s="136"/>
      <c r="BK6" s="136"/>
      <c r="BL6" s="136"/>
      <c r="BM6" s="136"/>
      <c r="BN6" s="136"/>
      <c r="BO6" s="136"/>
      <c r="BP6" s="136"/>
      <c r="BQ6" s="4"/>
      <c r="BT6" s="4"/>
      <c r="BU6" s="4"/>
      <c r="BV6" s="15"/>
      <c r="BW6" s="15"/>
      <c r="BX6" s="2"/>
      <c r="BY6" s="4"/>
      <c r="BZ6" s="136"/>
      <c r="CA6" s="136"/>
      <c r="CB6" s="136"/>
      <c r="CC6" s="136"/>
      <c r="CD6" s="136"/>
      <c r="CE6" s="136"/>
      <c r="CF6" s="136"/>
      <c r="CG6" s="136"/>
      <c r="CH6" s="136"/>
      <c r="CI6" s="4"/>
      <c r="CL6" s="4"/>
      <c r="CM6" s="4"/>
      <c r="CN6" s="15"/>
      <c r="CO6" s="15"/>
      <c r="CP6" s="2"/>
      <c r="CQ6" s="4"/>
      <c r="CR6" s="136"/>
      <c r="CS6" s="136"/>
      <c r="CT6" s="136"/>
      <c r="CU6" s="136"/>
      <c r="CV6" s="136"/>
      <c r="CW6" s="136"/>
      <c r="CX6" s="136"/>
      <c r="CY6" s="136"/>
      <c r="CZ6" s="136"/>
      <c r="DA6" s="4"/>
      <c r="DD6" s="4"/>
      <c r="DE6" s="4"/>
      <c r="DF6" s="15"/>
      <c r="DG6" s="15"/>
      <c r="DH6" s="2"/>
      <c r="DI6" s="4"/>
      <c r="DJ6" s="136"/>
      <c r="DK6" s="136"/>
      <c r="DL6" s="136"/>
      <c r="DM6" s="136"/>
      <c r="DN6" s="136"/>
      <c r="DO6" s="136"/>
      <c r="DP6" s="136"/>
      <c r="DQ6" s="136"/>
      <c r="DR6" s="136"/>
      <c r="DS6" s="4"/>
      <c r="DW6" s="27"/>
      <c r="DX6" s="66"/>
      <c r="DY6" s="66"/>
      <c r="DZ6" s="66"/>
      <c r="EA6" s="66"/>
      <c r="EB6" s="66"/>
      <c r="EC6" s="66"/>
      <c r="ED6" s="66"/>
      <c r="EE6" s="66"/>
      <c r="EF6" s="66"/>
      <c r="EG6" s="66"/>
      <c r="EH6" s="66"/>
      <c r="EI6" s="59"/>
      <c r="EJ6" s="58"/>
      <c r="EK6" s="67"/>
      <c r="EL6" s="58"/>
      <c r="EM6" s="64"/>
      <c r="EN6" s="68"/>
      <c r="EO6" s="25"/>
      <c r="EU6" s="54" t="str">
        <f>EK7</f>
        <v>Coordinator</v>
      </c>
      <c r="EV6" s="54">
        <f>EM7</f>
        <v>1</v>
      </c>
    </row>
    <row r="7" spans="1:194" s="17" customFormat="1" ht="31.95" customHeight="1" thickTop="1" thickBot="1" x14ac:dyDescent="0.35">
      <c r="B7" s="16" t="s">
        <v>3</v>
      </c>
      <c r="C7" s="16"/>
      <c r="D7" s="41">
        <v>1</v>
      </c>
      <c r="F7" s="134"/>
      <c r="G7" s="134"/>
      <c r="H7" s="134"/>
      <c r="I7" s="134"/>
      <c r="J7" s="134"/>
      <c r="K7" s="134"/>
      <c r="L7" s="134"/>
      <c r="M7" s="134"/>
      <c r="N7" s="134"/>
      <c r="S7" s="18"/>
      <c r="T7" s="19" t="s">
        <v>14</v>
      </c>
      <c r="U7" s="19"/>
      <c r="V7" s="41"/>
      <c r="W7" s="18"/>
      <c r="X7" s="136"/>
      <c r="Y7" s="136"/>
      <c r="Z7" s="136"/>
      <c r="AA7" s="136"/>
      <c r="AB7" s="136"/>
      <c r="AC7" s="136"/>
      <c r="AD7" s="136"/>
      <c r="AE7" s="136"/>
      <c r="AF7" s="136"/>
      <c r="AG7" s="18"/>
      <c r="AJ7" s="18"/>
      <c r="AK7" s="18"/>
      <c r="AL7" s="19" t="s">
        <v>24</v>
      </c>
      <c r="AM7" s="19"/>
      <c r="AN7" s="41"/>
      <c r="AO7" s="18"/>
      <c r="AP7" s="136"/>
      <c r="AQ7" s="136"/>
      <c r="AR7" s="136"/>
      <c r="AS7" s="136"/>
      <c r="AT7" s="136"/>
      <c r="AU7" s="136"/>
      <c r="AV7" s="136"/>
      <c r="AW7" s="136"/>
      <c r="AX7" s="136"/>
      <c r="AY7" s="18"/>
      <c r="BB7" s="18"/>
      <c r="BC7" s="18"/>
      <c r="BD7" s="19" t="s">
        <v>34</v>
      </c>
      <c r="BE7" s="19"/>
      <c r="BF7" s="41"/>
      <c r="BG7" s="18"/>
      <c r="BH7" s="136"/>
      <c r="BI7" s="136"/>
      <c r="BJ7" s="136"/>
      <c r="BK7" s="136"/>
      <c r="BL7" s="136"/>
      <c r="BM7" s="136"/>
      <c r="BN7" s="136"/>
      <c r="BO7" s="136"/>
      <c r="BP7" s="136"/>
      <c r="BQ7" s="18"/>
      <c r="BT7" s="18"/>
      <c r="BU7" s="18"/>
      <c r="BV7" s="19" t="s">
        <v>44</v>
      </c>
      <c r="BW7" s="19"/>
      <c r="BX7" s="41"/>
      <c r="BY7" s="18"/>
      <c r="BZ7" s="136"/>
      <c r="CA7" s="136"/>
      <c r="CB7" s="136"/>
      <c r="CC7" s="136"/>
      <c r="CD7" s="136"/>
      <c r="CE7" s="136"/>
      <c r="CF7" s="136"/>
      <c r="CG7" s="136"/>
      <c r="CH7" s="136"/>
      <c r="CI7" s="18"/>
      <c r="CL7" s="18"/>
      <c r="CM7" s="18"/>
      <c r="CN7" s="19" t="s">
        <v>54</v>
      </c>
      <c r="CO7" s="19"/>
      <c r="CP7" s="41"/>
      <c r="CQ7" s="18"/>
      <c r="CR7" s="136"/>
      <c r="CS7" s="136"/>
      <c r="CT7" s="136"/>
      <c r="CU7" s="136"/>
      <c r="CV7" s="136"/>
      <c r="CW7" s="136"/>
      <c r="CX7" s="136"/>
      <c r="CY7" s="136"/>
      <c r="CZ7" s="136"/>
      <c r="DA7" s="18"/>
      <c r="DD7" s="4"/>
      <c r="DE7" s="4"/>
      <c r="DF7" s="15" t="s">
        <v>64</v>
      </c>
      <c r="DG7" s="15"/>
      <c r="DH7" s="41"/>
      <c r="DI7" s="4"/>
      <c r="DJ7" s="136"/>
      <c r="DK7" s="136"/>
      <c r="DL7" s="136"/>
      <c r="DM7" s="136"/>
      <c r="DN7" s="136"/>
      <c r="DO7" s="136"/>
      <c r="DP7" s="136"/>
      <c r="DQ7" s="136"/>
      <c r="DR7" s="136"/>
      <c r="DS7" s="4"/>
      <c r="DW7" s="27"/>
      <c r="DX7" s="56" t="s">
        <v>75</v>
      </c>
      <c r="DY7" s="56"/>
      <c r="DZ7" s="81">
        <f>V5</f>
        <v>0</v>
      </c>
      <c r="EA7" s="81">
        <f>V17</f>
        <v>0</v>
      </c>
      <c r="EB7" s="81">
        <f>V15</f>
        <v>0</v>
      </c>
      <c r="EC7" s="81">
        <f>V11</f>
        <v>0</v>
      </c>
      <c r="ED7" s="81">
        <f>V21</f>
        <v>0</v>
      </c>
      <c r="EE7" s="81">
        <f>V7</f>
        <v>0</v>
      </c>
      <c r="EF7" s="81">
        <f>V9</f>
        <v>0</v>
      </c>
      <c r="EG7" s="81">
        <f>V13</f>
        <v>0</v>
      </c>
      <c r="EH7" s="81">
        <f>V19</f>
        <v>0</v>
      </c>
      <c r="EI7" s="59"/>
      <c r="EJ7" s="61"/>
      <c r="EK7" s="74" t="s">
        <v>83</v>
      </c>
      <c r="EL7" s="75"/>
      <c r="EM7" s="64">
        <f>EA19</f>
        <v>1</v>
      </c>
      <c r="EN7" s="65"/>
      <c r="EO7" s="26"/>
      <c r="EU7" s="54" t="str">
        <f>EK9</f>
        <v>Shaper</v>
      </c>
      <c r="EV7" s="54">
        <f>EM9</f>
        <v>0</v>
      </c>
    </row>
    <row r="8" spans="1:194" ht="4.95" customHeight="1" thickTop="1" thickBot="1" x14ac:dyDescent="0.35">
      <c r="S8" s="4"/>
      <c r="T8" s="15"/>
      <c r="U8" s="15"/>
      <c r="V8" s="2"/>
      <c r="W8" s="4"/>
      <c r="X8" s="4"/>
      <c r="Y8" s="4"/>
      <c r="Z8" s="4"/>
      <c r="AA8" s="4"/>
      <c r="AB8" s="4"/>
      <c r="AC8" s="4"/>
      <c r="AD8" s="4"/>
      <c r="AE8" s="4"/>
      <c r="AF8" s="4"/>
      <c r="AG8" s="4"/>
      <c r="AJ8" s="4"/>
      <c r="AK8" s="4"/>
      <c r="AL8" s="15"/>
      <c r="AM8" s="15"/>
      <c r="AN8" s="2"/>
      <c r="AO8" s="4"/>
      <c r="AP8" s="4"/>
      <c r="AQ8" s="4"/>
      <c r="AR8" s="4"/>
      <c r="AS8" s="4"/>
      <c r="AT8" s="4"/>
      <c r="AU8" s="4"/>
      <c r="AV8" s="4"/>
      <c r="AW8" s="4"/>
      <c r="AX8" s="4"/>
      <c r="AY8" s="4"/>
      <c r="BB8" s="4"/>
      <c r="BC8" s="4"/>
      <c r="BD8" s="15"/>
      <c r="BE8" s="15"/>
      <c r="BF8" s="2"/>
      <c r="BG8" s="4"/>
      <c r="BH8" s="4"/>
      <c r="BI8" s="4"/>
      <c r="BJ8" s="4"/>
      <c r="BK8" s="4"/>
      <c r="BL8" s="4"/>
      <c r="BM8" s="4"/>
      <c r="BN8" s="4"/>
      <c r="BO8" s="4"/>
      <c r="BP8" s="4"/>
      <c r="BQ8" s="4"/>
      <c r="BT8" s="4"/>
      <c r="BU8" s="4"/>
      <c r="BV8" s="15"/>
      <c r="BW8" s="15"/>
      <c r="BX8" s="2"/>
      <c r="BY8" s="4"/>
      <c r="BZ8" s="4"/>
      <c r="CA8" s="4"/>
      <c r="CB8" s="4"/>
      <c r="CC8" s="4"/>
      <c r="CD8" s="4"/>
      <c r="CE8" s="4"/>
      <c r="CF8" s="4"/>
      <c r="CG8" s="4"/>
      <c r="CH8" s="4"/>
      <c r="CI8" s="4"/>
      <c r="CL8" s="4"/>
      <c r="CM8" s="4"/>
      <c r="CN8" s="15"/>
      <c r="CO8" s="15"/>
      <c r="CP8" s="2"/>
      <c r="CQ8" s="4"/>
      <c r="CR8" s="4"/>
      <c r="CS8" s="4"/>
      <c r="CT8" s="4"/>
      <c r="CU8" s="4"/>
      <c r="CV8" s="4"/>
      <c r="CW8" s="4"/>
      <c r="CX8" s="4"/>
      <c r="CY8" s="4"/>
      <c r="CZ8" s="4"/>
      <c r="DA8" s="4"/>
      <c r="DD8" s="4"/>
      <c r="DE8" s="4"/>
      <c r="DF8" s="15"/>
      <c r="DG8" s="15"/>
      <c r="DH8" s="2"/>
      <c r="DI8" s="4"/>
      <c r="DJ8" s="4"/>
      <c r="DK8" s="4"/>
      <c r="DL8" s="4"/>
      <c r="DM8" s="4"/>
      <c r="DN8" s="4"/>
      <c r="DO8" s="4"/>
      <c r="DP8" s="4"/>
      <c r="DQ8" s="4"/>
      <c r="DR8" s="4"/>
      <c r="DS8" s="4"/>
      <c r="DW8" s="27"/>
      <c r="DX8" s="66"/>
      <c r="DY8" s="66"/>
      <c r="DZ8" s="66"/>
      <c r="EA8" s="66"/>
      <c r="EB8" s="66"/>
      <c r="EC8" s="66"/>
      <c r="ED8" s="66"/>
      <c r="EE8" s="66"/>
      <c r="EF8" s="66"/>
      <c r="EG8" s="66"/>
      <c r="EH8" s="66"/>
      <c r="EI8" s="59"/>
      <c r="EJ8" s="58"/>
      <c r="EK8" s="67"/>
      <c r="EL8" s="58"/>
      <c r="EM8" s="64"/>
      <c r="EN8" s="68"/>
      <c r="EO8" s="25"/>
      <c r="EU8" s="54" t="str">
        <f>EK11</f>
        <v>Plant</v>
      </c>
      <c r="EV8" s="54">
        <f>EM11</f>
        <v>1</v>
      </c>
    </row>
    <row r="9" spans="1:194" s="17" customFormat="1" ht="31.95" customHeight="1" thickTop="1" thickBot="1" x14ac:dyDescent="0.35">
      <c r="B9" s="16" t="s">
        <v>4</v>
      </c>
      <c r="C9" s="16"/>
      <c r="D9" s="41">
        <v>2</v>
      </c>
      <c r="S9" s="18"/>
      <c r="T9" s="19" t="s">
        <v>15</v>
      </c>
      <c r="U9" s="19"/>
      <c r="V9" s="41"/>
      <c r="W9" s="18"/>
      <c r="X9" s="18"/>
      <c r="Y9" s="18"/>
      <c r="Z9" s="18"/>
      <c r="AA9" s="18"/>
      <c r="AB9" s="18"/>
      <c r="AC9" s="18"/>
      <c r="AD9" s="18"/>
      <c r="AE9" s="18"/>
      <c r="AF9" s="18"/>
      <c r="AG9" s="18"/>
      <c r="AJ9" s="18"/>
      <c r="AK9" s="18"/>
      <c r="AL9" s="19" t="s">
        <v>25</v>
      </c>
      <c r="AM9" s="19"/>
      <c r="AN9" s="41"/>
      <c r="AO9" s="18"/>
      <c r="AP9" s="18"/>
      <c r="AQ9" s="18"/>
      <c r="AR9" s="18"/>
      <c r="AS9" s="18"/>
      <c r="AT9" s="128" t="str">
        <f>IF(AS11&gt;0,"YOU HAVE NOT USED ALL OF YOUR POINTS YET","")</f>
        <v>YOU HAVE NOT USED ALL OF YOUR POINTS YET</v>
      </c>
      <c r="AU9" s="128"/>
      <c r="AV9" s="128"/>
      <c r="AW9" s="128"/>
      <c r="AX9" s="18"/>
      <c r="AY9" s="18"/>
      <c r="BB9" s="18"/>
      <c r="BC9" s="18"/>
      <c r="BD9" s="19" t="s">
        <v>35</v>
      </c>
      <c r="BE9" s="19"/>
      <c r="BF9" s="41"/>
      <c r="BG9" s="18"/>
      <c r="BH9" s="18"/>
      <c r="BI9" s="18"/>
      <c r="BJ9" s="18"/>
      <c r="BK9" s="18"/>
      <c r="BL9" s="18"/>
      <c r="BM9" s="18"/>
      <c r="BN9" s="18"/>
      <c r="BO9" s="18"/>
      <c r="BP9" s="18"/>
      <c r="BQ9" s="18"/>
      <c r="BT9" s="18"/>
      <c r="BU9" s="18"/>
      <c r="BV9" s="19" t="s">
        <v>45</v>
      </c>
      <c r="BW9" s="19"/>
      <c r="BX9" s="41"/>
      <c r="BY9" s="18"/>
      <c r="BZ9" s="18"/>
      <c r="CA9" s="18"/>
      <c r="CB9" s="18"/>
      <c r="CC9" s="18"/>
      <c r="CD9" s="18"/>
      <c r="CE9" s="18"/>
      <c r="CF9" s="18"/>
      <c r="CG9" s="18"/>
      <c r="CH9" s="18"/>
      <c r="CI9" s="18"/>
      <c r="CL9" s="18"/>
      <c r="CM9" s="18"/>
      <c r="CN9" s="19" t="s">
        <v>55</v>
      </c>
      <c r="CO9" s="19"/>
      <c r="CP9" s="41"/>
      <c r="CQ9" s="18"/>
      <c r="CR9" s="18"/>
      <c r="CS9" s="18"/>
      <c r="CT9" s="18"/>
      <c r="CU9" s="18"/>
      <c r="CV9" s="18"/>
      <c r="CW9" s="18"/>
      <c r="CX9" s="18"/>
      <c r="CY9" s="18"/>
      <c r="CZ9" s="18"/>
      <c r="DA9" s="18"/>
      <c r="DD9" s="4"/>
      <c r="DE9" s="4"/>
      <c r="DF9" s="15" t="s">
        <v>65</v>
      </c>
      <c r="DG9" s="15"/>
      <c r="DH9" s="41"/>
      <c r="DI9" s="4"/>
      <c r="DJ9" s="4"/>
      <c r="DK9" s="4"/>
      <c r="DL9" s="4"/>
      <c r="DM9" s="4"/>
      <c r="DN9" s="4"/>
      <c r="DO9" s="4"/>
      <c r="DP9" s="4"/>
      <c r="DQ9" s="4"/>
      <c r="DR9" s="4"/>
      <c r="DS9" s="4"/>
      <c r="DW9" s="27"/>
      <c r="DX9" s="56" t="s">
        <v>76</v>
      </c>
      <c r="DY9" s="56"/>
      <c r="DZ9" s="81">
        <f>AN21</f>
        <v>0</v>
      </c>
      <c r="EA9" s="81">
        <f>AN9</f>
        <v>0</v>
      </c>
      <c r="EB9" s="81">
        <f>AN19</f>
        <v>0</v>
      </c>
      <c r="EC9" s="81">
        <f>AN5</f>
        <v>0</v>
      </c>
      <c r="ED9" s="81">
        <f>AN11</f>
        <v>0</v>
      </c>
      <c r="EE9" s="81">
        <f>AN15</f>
        <v>0</v>
      </c>
      <c r="EF9" s="81">
        <f>AN17</f>
        <v>0</v>
      </c>
      <c r="EG9" s="81">
        <f>AN7</f>
        <v>0</v>
      </c>
      <c r="EH9" s="81">
        <f>AN13</f>
        <v>0</v>
      </c>
      <c r="EI9" s="59"/>
      <c r="EJ9" s="61"/>
      <c r="EK9" s="62" t="s">
        <v>84</v>
      </c>
      <c r="EL9" s="63"/>
      <c r="EM9" s="64">
        <f>EB19</f>
        <v>0</v>
      </c>
      <c r="EN9" s="65"/>
      <c r="EO9" s="26"/>
      <c r="EU9" s="54" t="str">
        <f>EK13</f>
        <v>Resource Investigator</v>
      </c>
      <c r="EV9" s="54">
        <f>EM13</f>
        <v>2</v>
      </c>
    </row>
    <row r="10" spans="1:194" ht="4.95" customHeight="1" thickTop="1" thickBot="1" x14ac:dyDescent="0.35">
      <c r="S10" s="4"/>
      <c r="T10" s="15"/>
      <c r="U10" s="15"/>
      <c r="V10" s="2"/>
      <c r="W10" s="4"/>
      <c r="X10" s="4"/>
      <c r="Y10" s="4"/>
      <c r="Z10" s="4"/>
      <c r="AA10" s="4"/>
      <c r="AB10" s="4"/>
      <c r="AC10" s="4"/>
      <c r="AD10" s="4"/>
      <c r="AE10" s="4"/>
      <c r="AF10" s="4"/>
      <c r="AG10" s="4"/>
      <c r="AJ10" s="4"/>
      <c r="AK10" s="4"/>
      <c r="AL10" s="15"/>
      <c r="AM10" s="15"/>
      <c r="AN10" s="2"/>
      <c r="AO10" s="4"/>
      <c r="AP10" s="4"/>
      <c r="AQ10" s="4"/>
      <c r="AR10" s="4"/>
      <c r="AS10" s="4"/>
      <c r="AT10" s="4"/>
      <c r="AU10" s="4"/>
      <c r="AV10" s="4"/>
      <c r="AW10" s="4"/>
      <c r="AX10" s="4"/>
      <c r="AY10" s="4"/>
      <c r="BB10" s="4"/>
      <c r="BC10" s="4"/>
      <c r="BD10" s="15"/>
      <c r="BE10" s="15"/>
      <c r="BF10" s="2"/>
      <c r="BG10" s="4"/>
      <c r="BH10" s="4"/>
      <c r="BI10" s="4"/>
      <c r="BJ10" s="4"/>
      <c r="BK10" s="4"/>
      <c r="BL10" s="4"/>
      <c r="BM10" s="4"/>
      <c r="BN10" s="4"/>
      <c r="BO10" s="4"/>
      <c r="BP10" s="4"/>
      <c r="BQ10" s="4"/>
      <c r="BT10" s="4"/>
      <c r="BU10" s="4"/>
      <c r="BV10" s="15"/>
      <c r="BW10" s="15"/>
      <c r="BX10" s="2"/>
      <c r="BY10" s="4"/>
      <c r="BZ10" s="4"/>
      <c r="CA10" s="4"/>
      <c r="CB10" s="4"/>
      <c r="CC10" s="4"/>
      <c r="CD10" s="4"/>
      <c r="CE10" s="4"/>
      <c r="CF10" s="4"/>
      <c r="CG10" s="4"/>
      <c r="CH10" s="4"/>
      <c r="CI10" s="4"/>
      <c r="CL10" s="4"/>
      <c r="CM10" s="4"/>
      <c r="CN10" s="15"/>
      <c r="CO10" s="15"/>
      <c r="CP10" s="2"/>
      <c r="CQ10" s="4"/>
      <c r="CR10" s="4"/>
      <c r="CS10" s="4"/>
      <c r="CT10" s="4"/>
      <c r="CU10" s="4"/>
      <c r="CV10" s="4"/>
      <c r="CW10" s="4"/>
      <c r="CX10" s="4"/>
      <c r="CY10" s="4"/>
      <c r="CZ10" s="4"/>
      <c r="DA10" s="4"/>
      <c r="DD10" s="4"/>
      <c r="DE10" s="4"/>
      <c r="DF10" s="15"/>
      <c r="DG10" s="15"/>
      <c r="DH10" s="2"/>
      <c r="DI10" s="4"/>
      <c r="DJ10" s="4"/>
      <c r="DK10" s="4"/>
      <c r="DL10" s="4"/>
      <c r="DM10" s="4"/>
      <c r="DN10" s="4"/>
      <c r="DO10" s="4"/>
      <c r="DP10" s="4"/>
      <c r="DQ10" s="4"/>
      <c r="DR10" s="4"/>
      <c r="DS10" s="4"/>
      <c r="DW10" s="27"/>
      <c r="DX10" s="66"/>
      <c r="DY10" s="66"/>
      <c r="DZ10" s="66"/>
      <c r="EA10" s="66"/>
      <c r="EB10" s="66"/>
      <c r="EC10" s="66"/>
      <c r="ED10" s="66"/>
      <c r="EE10" s="66"/>
      <c r="EF10" s="66"/>
      <c r="EG10" s="66"/>
      <c r="EH10" s="66"/>
      <c r="EI10" s="59"/>
      <c r="EJ10" s="58"/>
      <c r="EK10" s="67"/>
      <c r="EL10" s="58"/>
      <c r="EM10" s="64"/>
      <c r="EN10" s="68"/>
      <c r="EO10" s="25"/>
      <c r="EU10" s="54" t="str">
        <f>EK15</f>
        <v>Monitor Evaluator</v>
      </c>
      <c r="EV10" s="54">
        <f>EM15</f>
        <v>0</v>
      </c>
    </row>
    <row r="11" spans="1:194" s="17" customFormat="1" ht="31.95" customHeight="1" thickTop="1" thickBot="1" x14ac:dyDescent="0.35">
      <c r="B11" s="16" t="s">
        <v>5</v>
      </c>
      <c r="C11" s="16"/>
      <c r="D11" s="41">
        <v>2</v>
      </c>
      <c r="F11" s="129" t="s">
        <v>6</v>
      </c>
      <c r="G11" s="129"/>
      <c r="I11" s="22">
        <f>10-SUM(D5,D7,D9,D11,D13,D15,D17,D19,D21)</f>
        <v>0</v>
      </c>
      <c r="J11" s="126" t="str">
        <f>IF(I11&lt;0,"TOO MANY POINTS!","")</f>
        <v/>
      </c>
      <c r="K11" s="126"/>
      <c r="L11" s="126"/>
      <c r="M11" s="126"/>
      <c r="S11" s="18"/>
      <c r="T11" s="19" t="s">
        <v>16</v>
      </c>
      <c r="U11" s="19"/>
      <c r="V11" s="41"/>
      <c r="W11" s="18"/>
      <c r="X11" s="125" t="s">
        <v>6</v>
      </c>
      <c r="Y11" s="125"/>
      <c r="Z11" s="18"/>
      <c r="AA11" s="23">
        <f>10-SUM(V5,V7,V9,V11,V13,V15,V17,V19,V21)</f>
        <v>10</v>
      </c>
      <c r="AB11" s="126" t="str">
        <f>IF(AA11&lt;0,"TOO MANY POINTS!","")</f>
        <v/>
      </c>
      <c r="AC11" s="126"/>
      <c r="AD11" s="126"/>
      <c r="AE11" s="126"/>
      <c r="AF11" s="20"/>
      <c r="AG11" s="18"/>
      <c r="AJ11" s="18"/>
      <c r="AK11" s="18"/>
      <c r="AL11" s="19" t="s">
        <v>26</v>
      </c>
      <c r="AM11" s="19"/>
      <c r="AN11" s="41"/>
      <c r="AO11" s="18"/>
      <c r="AP11" s="125" t="s">
        <v>6</v>
      </c>
      <c r="AQ11" s="125"/>
      <c r="AR11" s="18"/>
      <c r="AS11" s="23">
        <f>10-SUM(AN5,AN7,AN9,AN11,AN13,AN15,AN17,AN19,AN21)</f>
        <v>10</v>
      </c>
      <c r="AT11" s="126" t="str">
        <f>IF(AS11&lt;0,"TOO MANY POINTS!","")</f>
        <v/>
      </c>
      <c r="AU11" s="126"/>
      <c r="AV11" s="126"/>
      <c r="AW11" s="126"/>
      <c r="AX11" s="20"/>
      <c r="AY11" s="18"/>
      <c r="BB11" s="18"/>
      <c r="BC11" s="18"/>
      <c r="BD11" s="19" t="s">
        <v>36</v>
      </c>
      <c r="BE11" s="19"/>
      <c r="BF11" s="41"/>
      <c r="BG11" s="18"/>
      <c r="BH11" s="125" t="s">
        <v>6</v>
      </c>
      <c r="BI11" s="125"/>
      <c r="BJ11" s="18"/>
      <c r="BK11" s="23">
        <f>10-SUM(BF5,BF7,BF9,BF11,BF13,BF15,BF17,BF19,BF21)</f>
        <v>10</v>
      </c>
      <c r="BL11" s="126" t="str">
        <f>IF(BK11&lt;0,"TOO MANY POINTS!","")</f>
        <v/>
      </c>
      <c r="BM11" s="126"/>
      <c r="BN11" s="126"/>
      <c r="BO11" s="126"/>
      <c r="BP11" s="20"/>
      <c r="BQ11" s="18"/>
      <c r="BT11" s="18"/>
      <c r="BU11" s="18"/>
      <c r="BV11" s="19" t="s">
        <v>46</v>
      </c>
      <c r="BW11" s="19"/>
      <c r="BX11" s="41"/>
      <c r="BY11" s="18"/>
      <c r="BZ11" s="125" t="s">
        <v>6</v>
      </c>
      <c r="CA11" s="125"/>
      <c r="CB11" s="18"/>
      <c r="CC11" s="23">
        <f>10-SUM(BX5,BX7,BX9,BX11,BX13,BX15,BX17,BX19,BX21)</f>
        <v>10</v>
      </c>
      <c r="CD11" s="126" t="str">
        <f>IF(CC11&lt;0,"TOO MANY POINTS!","")</f>
        <v/>
      </c>
      <c r="CE11" s="126"/>
      <c r="CF11" s="126"/>
      <c r="CG11" s="126"/>
      <c r="CH11" s="20"/>
      <c r="CI11" s="18"/>
      <c r="CL11" s="18"/>
      <c r="CM11" s="18"/>
      <c r="CN11" s="19" t="s">
        <v>56</v>
      </c>
      <c r="CO11" s="19"/>
      <c r="CP11" s="41"/>
      <c r="CQ11" s="18"/>
      <c r="CR11" s="125" t="s">
        <v>6</v>
      </c>
      <c r="CS11" s="125"/>
      <c r="CT11" s="18"/>
      <c r="CU11" s="23">
        <f>10-SUM(CP5,CP7,CP9,CP11,CP13,CP15,CP17,CP19,CP21)</f>
        <v>10</v>
      </c>
      <c r="CV11" s="126" t="str">
        <f>IF(CU11&lt;0,"TOO MANY POINTS!","")</f>
        <v/>
      </c>
      <c r="CW11" s="126"/>
      <c r="CX11" s="126"/>
      <c r="CY11" s="126"/>
      <c r="CZ11" s="20"/>
      <c r="DA11" s="18"/>
      <c r="DD11" s="4"/>
      <c r="DE11" s="4"/>
      <c r="DF11" s="15" t="s">
        <v>66</v>
      </c>
      <c r="DG11" s="15"/>
      <c r="DH11" s="41"/>
      <c r="DI11" s="4"/>
      <c r="DJ11" s="125" t="s">
        <v>6</v>
      </c>
      <c r="DK11" s="125"/>
      <c r="DL11" s="4"/>
      <c r="DM11" s="23">
        <f>10-SUM(DH5,DH7,DH9,DH11,DH13,DH15,DH17,DH19,DH21)</f>
        <v>10</v>
      </c>
      <c r="DN11" s="126" t="str">
        <f>IF(DM11&lt;0,"TOO MANY POINTS!","")</f>
        <v/>
      </c>
      <c r="DO11" s="126"/>
      <c r="DP11" s="126"/>
      <c r="DQ11" s="126"/>
      <c r="DR11" s="21"/>
      <c r="DS11" s="4"/>
      <c r="DW11" s="27"/>
      <c r="DX11" s="56" t="s">
        <v>77</v>
      </c>
      <c r="DY11" s="56"/>
      <c r="DZ11" s="81">
        <f>BF11</f>
        <v>0</v>
      </c>
      <c r="EA11" s="81">
        <f>BF7</f>
        <v>0</v>
      </c>
      <c r="EB11" s="81">
        <f>BF9</f>
        <v>0</v>
      </c>
      <c r="EC11" s="81">
        <f>BF13</f>
        <v>0</v>
      </c>
      <c r="ED11" s="81">
        <f>BF15</f>
        <v>0</v>
      </c>
      <c r="EE11" s="81">
        <f>BF19</f>
        <v>0</v>
      </c>
      <c r="EF11" s="81">
        <f>BF5</f>
        <v>0</v>
      </c>
      <c r="EG11" s="81">
        <f>BF17</f>
        <v>0</v>
      </c>
      <c r="EH11" s="81">
        <f>BF21</f>
        <v>0</v>
      </c>
      <c r="EI11" s="59"/>
      <c r="EJ11" s="61"/>
      <c r="EK11" s="74" t="s">
        <v>85</v>
      </c>
      <c r="EL11" s="75"/>
      <c r="EM11" s="64">
        <f>EC19</f>
        <v>1</v>
      </c>
      <c r="EN11" s="65"/>
      <c r="EO11" s="26"/>
      <c r="EU11" s="54" t="str">
        <f>EK17</f>
        <v>Team Worker</v>
      </c>
      <c r="EV11" s="54">
        <f>EM17</f>
        <v>1</v>
      </c>
    </row>
    <row r="12" spans="1:194" ht="4.95" customHeight="1" thickTop="1" thickBot="1" x14ac:dyDescent="0.35">
      <c r="J12" s="4"/>
      <c r="K12" s="4"/>
      <c r="L12" s="4"/>
      <c r="M12" s="4"/>
      <c r="S12" s="4"/>
      <c r="T12" s="15"/>
      <c r="U12" s="15"/>
      <c r="V12" s="2"/>
      <c r="W12" s="4"/>
      <c r="X12" s="4"/>
      <c r="Y12" s="4"/>
      <c r="Z12" s="4"/>
      <c r="AA12" s="4"/>
      <c r="AB12" s="4"/>
      <c r="AC12" s="4"/>
      <c r="AD12" s="4"/>
      <c r="AE12" s="4"/>
      <c r="AF12" s="21"/>
      <c r="AG12" s="4"/>
      <c r="AJ12" s="4"/>
      <c r="AK12" s="4"/>
      <c r="AL12" s="15"/>
      <c r="AM12" s="15"/>
      <c r="AN12" s="2"/>
      <c r="AO12" s="4"/>
      <c r="AP12" s="4"/>
      <c r="AQ12" s="4"/>
      <c r="AR12" s="4"/>
      <c r="AS12" s="4"/>
      <c r="AT12" s="4"/>
      <c r="AU12" s="4"/>
      <c r="AV12" s="4"/>
      <c r="AW12" s="4"/>
      <c r="AX12" s="21"/>
      <c r="AY12" s="4"/>
      <c r="BB12" s="4"/>
      <c r="BC12" s="4"/>
      <c r="BD12" s="15"/>
      <c r="BE12" s="15"/>
      <c r="BF12" s="2"/>
      <c r="BG12" s="4"/>
      <c r="BH12" s="4"/>
      <c r="BI12" s="4"/>
      <c r="BJ12" s="4"/>
      <c r="BK12" s="4"/>
      <c r="BL12" s="4"/>
      <c r="BM12" s="4"/>
      <c r="BN12" s="4"/>
      <c r="BO12" s="4"/>
      <c r="BP12" s="21"/>
      <c r="BQ12" s="4"/>
      <c r="BT12" s="4"/>
      <c r="BU12" s="4"/>
      <c r="BV12" s="15"/>
      <c r="BW12" s="15"/>
      <c r="BX12" s="2"/>
      <c r="BY12" s="4"/>
      <c r="BZ12" s="4"/>
      <c r="CA12" s="4"/>
      <c r="CB12" s="4"/>
      <c r="CC12" s="4"/>
      <c r="CD12" s="4"/>
      <c r="CE12" s="4"/>
      <c r="CF12" s="4"/>
      <c r="CG12" s="4"/>
      <c r="CH12" s="21"/>
      <c r="CI12" s="4"/>
      <c r="CL12" s="4"/>
      <c r="CM12" s="4"/>
      <c r="CN12" s="15"/>
      <c r="CO12" s="15"/>
      <c r="CP12" s="2"/>
      <c r="CQ12" s="4"/>
      <c r="CR12" s="4"/>
      <c r="CS12" s="4"/>
      <c r="CT12" s="4"/>
      <c r="CU12" s="4"/>
      <c r="CV12" s="4"/>
      <c r="CW12" s="4"/>
      <c r="CX12" s="4"/>
      <c r="CY12" s="4"/>
      <c r="CZ12" s="21"/>
      <c r="DA12" s="4"/>
      <c r="DD12" s="4"/>
      <c r="DE12" s="4"/>
      <c r="DF12" s="15"/>
      <c r="DG12" s="15"/>
      <c r="DH12" s="2"/>
      <c r="DI12" s="4"/>
      <c r="DJ12" s="4"/>
      <c r="DK12" s="4"/>
      <c r="DL12" s="4"/>
      <c r="DM12" s="4"/>
      <c r="DN12" s="4"/>
      <c r="DO12" s="4"/>
      <c r="DP12" s="4"/>
      <c r="DQ12" s="4"/>
      <c r="DR12" s="21"/>
      <c r="DS12" s="4"/>
      <c r="DW12" s="27"/>
      <c r="DX12" s="66"/>
      <c r="DY12" s="66"/>
      <c r="DZ12" s="66"/>
      <c r="EA12" s="66"/>
      <c r="EB12" s="66"/>
      <c r="EC12" s="66"/>
      <c r="ED12" s="66"/>
      <c r="EE12" s="66"/>
      <c r="EF12" s="66"/>
      <c r="EG12" s="66"/>
      <c r="EH12" s="66"/>
      <c r="EI12" s="59"/>
      <c r="EJ12" s="58"/>
      <c r="EK12" s="67"/>
      <c r="EL12" s="58"/>
      <c r="EM12" s="64"/>
      <c r="EN12" s="68"/>
      <c r="EO12" s="25"/>
      <c r="EU12" s="54" t="str">
        <f>EK19</f>
        <v>Complete Finisher</v>
      </c>
      <c r="EV12" s="54">
        <f>EM19</f>
        <v>2</v>
      </c>
    </row>
    <row r="13" spans="1:194" s="17" customFormat="1" ht="31.95" customHeight="1" thickTop="1" thickBot="1" x14ac:dyDescent="0.35">
      <c r="B13" s="16" t="s">
        <v>7</v>
      </c>
      <c r="C13" s="16"/>
      <c r="D13" s="41">
        <v>1</v>
      </c>
      <c r="J13" s="127" t="str">
        <f>IF(I11&gt;0,"YOU HAVE NOT USED ALL OF YOUR POINTS YET","")</f>
        <v/>
      </c>
      <c r="K13" s="127"/>
      <c r="L13" s="127"/>
      <c r="M13" s="127"/>
      <c r="S13" s="18"/>
      <c r="T13" s="19" t="s">
        <v>17</v>
      </c>
      <c r="U13" s="19"/>
      <c r="V13" s="41"/>
      <c r="W13" s="18"/>
      <c r="X13" s="18"/>
      <c r="Y13" s="18"/>
      <c r="Z13" s="18"/>
      <c r="AA13" s="18"/>
      <c r="AB13" s="127" t="str">
        <f>IF(AA11&gt;0,"YOU HAVE NOT USED ALL OF YOUR POINTS YET","")</f>
        <v>YOU HAVE NOT USED ALL OF YOUR POINTS YET</v>
      </c>
      <c r="AC13" s="127"/>
      <c r="AD13" s="127"/>
      <c r="AE13" s="127"/>
      <c r="AF13" s="20"/>
      <c r="AG13" s="18"/>
      <c r="AJ13" s="18"/>
      <c r="AK13" s="18"/>
      <c r="AL13" s="19" t="s">
        <v>27</v>
      </c>
      <c r="AM13" s="19"/>
      <c r="AN13" s="41"/>
      <c r="AO13" s="18"/>
      <c r="AP13" s="18"/>
      <c r="AQ13" s="18"/>
      <c r="AR13" s="18"/>
      <c r="AS13" s="18"/>
      <c r="AT13" s="127" t="str">
        <f>IF(AS11&gt;0,"YOU HAVE NOT USED ALL OF YOUR POINTS YET","")</f>
        <v>YOU HAVE NOT USED ALL OF YOUR POINTS YET</v>
      </c>
      <c r="AU13" s="127"/>
      <c r="AV13" s="127"/>
      <c r="AW13" s="127"/>
      <c r="AX13" s="20"/>
      <c r="AY13" s="18"/>
      <c r="BB13" s="18"/>
      <c r="BC13" s="18"/>
      <c r="BD13" s="19" t="s">
        <v>37</v>
      </c>
      <c r="BE13" s="19"/>
      <c r="BF13" s="41"/>
      <c r="BG13" s="18"/>
      <c r="BH13" s="18"/>
      <c r="BI13" s="18"/>
      <c r="BJ13" s="18"/>
      <c r="BK13" s="18"/>
      <c r="BL13" s="127" t="str">
        <f>IF(BK11&gt;0,"YOU HAVE NOT USED ALL OF YOUR POINTS YET","")</f>
        <v>YOU HAVE NOT USED ALL OF YOUR POINTS YET</v>
      </c>
      <c r="BM13" s="127"/>
      <c r="BN13" s="127"/>
      <c r="BO13" s="127"/>
      <c r="BP13" s="20"/>
      <c r="BQ13" s="18"/>
      <c r="BT13" s="18"/>
      <c r="BU13" s="18"/>
      <c r="BV13" s="19" t="s">
        <v>47</v>
      </c>
      <c r="BW13" s="19"/>
      <c r="BX13" s="41"/>
      <c r="BY13" s="18"/>
      <c r="BZ13" s="18"/>
      <c r="CA13" s="18"/>
      <c r="CB13" s="18"/>
      <c r="CC13" s="18"/>
      <c r="CD13" s="127" t="str">
        <f>IF(CC11&gt;0,"YOU HAVE NOT USED ALL OF YOUR POINTS YET","")</f>
        <v>YOU HAVE NOT USED ALL OF YOUR POINTS YET</v>
      </c>
      <c r="CE13" s="127"/>
      <c r="CF13" s="127"/>
      <c r="CG13" s="127"/>
      <c r="CH13" s="20"/>
      <c r="CI13" s="18"/>
      <c r="CL13" s="18"/>
      <c r="CM13" s="18"/>
      <c r="CN13" s="19" t="s">
        <v>57</v>
      </c>
      <c r="CO13" s="19"/>
      <c r="CP13" s="41"/>
      <c r="CQ13" s="18"/>
      <c r="CR13" s="18"/>
      <c r="CS13" s="18"/>
      <c r="CT13" s="18"/>
      <c r="CU13" s="18"/>
      <c r="CV13" s="127" t="str">
        <f>IF(CU11&gt;0,"YOU HAVE NOT USED ALL OF YOUR POINTS YET","")</f>
        <v>YOU HAVE NOT USED ALL OF YOUR POINTS YET</v>
      </c>
      <c r="CW13" s="127"/>
      <c r="CX13" s="127"/>
      <c r="CY13" s="127"/>
      <c r="CZ13" s="20"/>
      <c r="DA13" s="18"/>
      <c r="DD13" s="4"/>
      <c r="DE13" s="4"/>
      <c r="DF13" s="15" t="s">
        <v>67</v>
      </c>
      <c r="DG13" s="15"/>
      <c r="DH13" s="41"/>
      <c r="DI13" s="4"/>
      <c r="DJ13" s="4"/>
      <c r="DK13" s="4"/>
      <c r="DL13" s="4"/>
      <c r="DM13" s="4"/>
      <c r="DN13" s="127" t="str">
        <f>IF(DM11&gt;0,"YOU HAVE NOT USED ALL OF YOUR POINTS YET","")</f>
        <v>YOU HAVE NOT USED ALL OF YOUR POINTS YET</v>
      </c>
      <c r="DO13" s="127"/>
      <c r="DP13" s="127"/>
      <c r="DQ13" s="127"/>
      <c r="DR13" s="21"/>
      <c r="DS13" s="4"/>
      <c r="DW13" s="27"/>
      <c r="DX13" s="56" t="s">
        <v>78</v>
      </c>
      <c r="DY13" s="56"/>
      <c r="DZ13" s="81">
        <f>BX13</f>
        <v>0</v>
      </c>
      <c r="EA13" s="81">
        <f>BX19</f>
        <v>0</v>
      </c>
      <c r="EB13" s="81">
        <f>BX21</f>
        <v>0</v>
      </c>
      <c r="EC13" s="81">
        <f>BX9</f>
        <v>0</v>
      </c>
      <c r="ED13" s="81">
        <f>BX17</f>
        <v>0</v>
      </c>
      <c r="EE13" s="81">
        <f>BX5</f>
        <v>0</v>
      </c>
      <c r="EF13" s="81">
        <f>BX15</f>
        <v>0</v>
      </c>
      <c r="EG13" s="81">
        <f>BX11</f>
        <v>0</v>
      </c>
      <c r="EH13" s="81">
        <f>BX7</f>
        <v>0</v>
      </c>
      <c r="EI13" s="59"/>
      <c r="EJ13" s="61"/>
      <c r="EK13" s="62" t="s">
        <v>86</v>
      </c>
      <c r="EL13" s="63"/>
      <c r="EM13" s="64">
        <f>ED19</f>
        <v>2</v>
      </c>
      <c r="EN13" s="65"/>
      <c r="EO13" s="26"/>
      <c r="EU13" s="54" t="str">
        <f>EK21</f>
        <v>Specialist</v>
      </c>
      <c r="EV13" s="54">
        <f>EM21</f>
        <v>1</v>
      </c>
    </row>
    <row r="14" spans="1:194" ht="4.95" customHeight="1" thickTop="1" thickBot="1" x14ac:dyDescent="0.35">
      <c r="J14" s="4"/>
      <c r="K14" s="4"/>
      <c r="L14" s="4"/>
      <c r="M14" s="4"/>
      <c r="S14" s="4"/>
      <c r="T14" s="15"/>
      <c r="U14" s="15"/>
      <c r="V14" s="2"/>
      <c r="W14" s="4"/>
      <c r="X14" s="4"/>
      <c r="Y14" s="4"/>
      <c r="Z14" s="4"/>
      <c r="AA14" s="4"/>
      <c r="AB14" s="4"/>
      <c r="AC14" s="4"/>
      <c r="AD14" s="4"/>
      <c r="AE14" s="4"/>
      <c r="AF14" s="21"/>
      <c r="AG14" s="4"/>
      <c r="AJ14" s="4"/>
      <c r="AK14" s="4"/>
      <c r="AL14" s="15"/>
      <c r="AM14" s="15"/>
      <c r="AN14" s="2"/>
      <c r="AO14" s="4"/>
      <c r="AP14" s="4"/>
      <c r="AQ14" s="4"/>
      <c r="AR14" s="4"/>
      <c r="AS14" s="4"/>
      <c r="AT14" s="4"/>
      <c r="AU14" s="4"/>
      <c r="AV14" s="4"/>
      <c r="AW14" s="4"/>
      <c r="AX14" s="21"/>
      <c r="AY14" s="4"/>
      <c r="BB14" s="4"/>
      <c r="BC14" s="4"/>
      <c r="BD14" s="15"/>
      <c r="BE14" s="15"/>
      <c r="BF14" s="2"/>
      <c r="BG14" s="4"/>
      <c r="BH14" s="4"/>
      <c r="BI14" s="4"/>
      <c r="BJ14" s="4"/>
      <c r="BK14" s="4"/>
      <c r="BL14" s="4"/>
      <c r="BM14" s="4"/>
      <c r="BN14" s="4"/>
      <c r="BO14" s="4"/>
      <c r="BP14" s="21"/>
      <c r="BQ14" s="4"/>
      <c r="BT14" s="4"/>
      <c r="BU14" s="4"/>
      <c r="BV14" s="15"/>
      <c r="BW14" s="15"/>
      <c r="BX14" s="2"/>
      <c r="BY14" s="4"/>
      <c r="BZ14" s="4"/>
      <c r="CA14" s="4"/>
      <c r="CB14" s="4"/>
      <c r="CC14" s="4"/>
      <c r="CD14" s="4"/>
      <c r="CE14" s="4"/>
      <c r="CF14" s="4"/>
      <c r="CG14" s="4"/>
      <c r="CH14" s="21"/>
      <c r="CI14" s="4"/>
      <c r="CL14" s="4"/>
      <c r="CM14" s="4"/>
      <c r="CN14" s="15"/>
      <c r="CO14" s="15"/>
      <c r="CP14" s="2"/>
      <c r="CQ14" s="4"/>
      <c r="CR14" s="4"/>
      <c r="CS14" s="4"/>
      <c r="CT14" s="4"/>
      <c r="CU14" s="4"/>
      <c r="CV14" s="4"/>
      <c r="CW14" s="4"/>
      <c r="CX14" s="4"/>
      <c r="CY14" s="4"/>
      <c r="CZ14" s="21"/>
      <c r="DA14" s="4"/>
      <c r="DD14" s="4"/>
      <c r="DE14" s="4"/>
      <c r="DF14" s="15"/>
      <c r="DG14" s="15"/>
      <c r="DH14" s="2"/>
      <c r="DI14" s="4"/>
      <c r="DJ14" s="4"/>
      <c r="DK14" s="4"/>
      <c r="DL14" s="4"/>
      <c r="DM14" s="4"/>
      <c r="DN14" s="4"/>
      <c r="DO14" s="4"/>
      <c r="DP14" s="4"/>
      <c r="DQ14" s="4"/>
      <c r="DR14" s="21"/>
      <c r="DS14" s="4"/>
      <c r="DW14" s="27"/>
      <c r="DX14" s="66"/>
      <c r="DY14" s="66"/>
      <c r="DZ14" s="66"/>
      <c r="EA14" s="66"/>
      <c r="EB14" s="66"/>
      <c r="EC14" s="66"/>
      <c r="ED14" s="66"/>
      <c r="EE14" s="66"/>
      <c r="EF14" s="66"/>
      <c r="EG14" s="66"/>
      <c r="EH14" s="66"/>
      <c r="EI14" s="59"/>
      <c r="EJ14" s="58"/>
      <c r="EK14" s="67"/>
      <c r="EL14" s="58"/>
      <c r="EM14" s="64"/>
      <c r="EN14" s="68"/>
      <c r="EO14" s="25"/>
      <c r="GL14" s="17"/>
    </row>
    <row r="15" spans="1:194" s="17" customFormat="1" ht="31.95" customHeight="1" thickTop="1" thickBot="1" x14ac:dyDescent="0.35">
      <c r="B15" s="16" t="s">
        <v>8</v>
      </c>
      <c r="C15" s="16"/>
      <c r="D15" s="41">
        <v>1</v>
      </c>
      <c r="J15" s="124" t="str">
        <f>IF(I11=0,"THANK YOU, YOU MAY CONTINUE","")</f>
        <v>THANK YOU, YOU MAY CONTINUE</v>
      </c>
      <c r="K15" s="124"/>
      <c r="L15" s="124"/>
      <c r="M15" s="124"/>
      <c r="S15" s="18"/>
      <c r="T15" s="19" t="s">
        <v>18</v>
      </c>
      <c r="U15" s="19"/>
      <c r="V15" s="41"/>
      <c r="W15" s="18"/>
      <c r="X15" s="18"/>
      <c r="Y15" s="18"/>
      <c r="Z15" s="18"/>
      <c r="AA15" s="18"/>
      <c r="AB15" s="124" t="str">
        <f>IF(AA11=0,"THANK YOU, YOU MAY CONTINUE","")</f>
        <v/>
      </c>
      <c r="AC15" s="124"/>
      <c r="AD15" s="124"/>
      <c r="AE15" s="124"/>
      <c r="AF15" s="20"/>
      <c r="AG15" s="18"/>
      <c r="AJ15" s="18"/>
      <c r="AK15" s="18"/>
      <c r="AL15" s="19" t="s">
        <v>28</v>
      </c>
      <c r="AM15" s="19"/>
      <c r="AN15" s="41"/>
      <c r="AO15" s="18"/>
      <c r="AP15" s="18"/>
      <c r="AQ15" s="18"/>
      <c r="AR15" s="18"/>
      <c r="AS15" s="18"/>
      <c r="AT15" s="124" t="str">
        <f>IF(AS11=0,"THANK YOU, YOU MAY CONTINUE","")</f>
        <v/>
      </c>
      <c r="AU15" s="124"/>
      <c r="AV15" s="124"/>
      <c r="AW15" s="124"/>
      <c r="AX15" s="20"/>
      <c r="AY15" s="18"/>
      <c r="BB15" s="18"/>
      <c r="BC15" s="18"/>
      <c r="BD15" s="19" t="s">
        <v>38</v>
      </c>
      <c r="BE15" s="19"/>
      <c r="BF15" s="41"/>
      <c r="BG15" s="18"/>
      <c r="BH15" s="18"/>
      <c r="BI15" s="18"/>
      <c r="BJ15" s="18"/>
      <c r="BK15" s="18"/>
      <c r="BL15" s="124" t="str">
        <f>IF(BK11=0,"THANK YOU, YOU MAY CONTINUE","")</f>
        <v/>
      </c>
      <c r="BM15" s="124"/>
      <c r="BN15" s="124"/>
      <c r="BO15" s="124"/>
      <c r="BP15" s="20"/>
      <c r="BQ15" s="18"/>
      <c r="BT15" s="18"/>
      <c r="BU15" s="18"/>
      <c r="BV15" s="19" t="s">
        <v>48</v>
      </c>
      <c r="BW15" s="19"/>
      <c r="BX15" s="41"/>
      <c r="BY15" s="18"/>
      <c r="BZ15" s="18"/>
      <c r="CA15" s="18"/>
      <c r="CB15" s="18"/>
      <c r="CC15" s="18"/>
      <c r="CD15" s="124" t="str">
        <f>IF(CC11=0,"THANK YOU, YOU MAY CONTINUE","")</f>
        <v/>
      </c>
      <c r="CE15" s="124"/>
      <c r="CF15" s="124"/>
      <c r="CG15" s="124"/>
      <c r="CH15" s="20"/>
      <c r="CI15" s="18"/>
      <c r="CL15" s="18"/>
      <c r="CM15" s="18"/>
      <c r="CN15" s="19" t="s">
        <v>58</v>
      </c>
      <c r="CO15" s="19"/>
      <c r="CP15" s="41"/>
      <c r="CQ15" s="18"/>
      <c r="CR15" s="18"/>
      <c r="CS15" s="18"/>
      <c r="CT15" s="18"/>
      <c r="CU15" s="18"/>
      <c r="CV15" s="124" t="str">
        <f>IF(CU11=0,"THANK YOU, YOU MAY CONTINUE","")</f>
        <v/>
      </c>
      <c r="CW15" s="124"/>
      <c r="CX15" s="124"/>
      <c r="CY15" s="124"/>
      <c r="CZ15" s="20"/>
      <c r="DA15" s="18"/>
      <c r="DD15" s="4"/>
      <c r="DE15" s="4"/>
      <c r="DF15" s="15" t="s">
        <v>68</v>
      </c>
      <c r="DG15" s="15"/>
      <c r="DH15" s="41"/>
      <c r="DI15" s="4"/>
      <c r="DJ15" s="4"/>
      <c r="DK15" s="4"/>
      <c r="DL15" s="4"/>
      <c r="DM15" s="4"/>
      <c r="DN15" s="124" t="str">
        <f>IF(DM11=0,"THANK YOU, YOU MAY CONTINUE","")</f>
        <v/>
      </c>
      <c r="DO15" s="124"/>
      <c r="DP15" s="124"/>
      <c r="DQ15" s="124"/>
      <c r="DR15" s="21"/>
      <c r="DS15" s="4"/>
      <c r="DX15" s="56" t="s">
        <v>79</v>
      </c>
      <c r="DY15" s="56"/>
      <c r="DZ15" s="81">
        <f>CP7</f>
        <v>0</v>
      </c>
      <c r="EA15" s="81">
        <f>CP13</f>
        <v>0</v>
      </c>
      <c r="EB15" s="81">
        <f>CP17</f>
        <v>0</v>
      </c>
      <c r="EC15" s="81">
        <f>CP15</f>
        <v>0</v>
      </c>
      <c r="ED15" s="81">
        <f>CP9</f>
        <v>0</v>
      </c>
      <c r="EE15" s="81">
        <f>CP11</f>
        <v>0</v>
      </c>
      <c r="EF15" s="81">
        <f>CP21</f>
        <v>0</v>
      </c>
      <c r="EG15" s="81">
        <f>CP19</f>
        <v>0</v>
      </c>
      <c r="EH15" s="81">
        <f>CP5</f>
        <v>0</v>
      </c>
      <c r="EI15" s="59"/>
      <c r="EJ15" s="61"/>
      <c r="EK15" s="74" t="s">
        <v>87</v>
      </c>
      <c r="EL15" s="75"/>
      <c r="EM15" s="64">
        <f>EE19</f>
        <v>0</v>
      </c>
      <c r="EN15" s="65"/>
      <c r="EO15" s="26"/>
    </row>
    <row r="16" spans="1:194" ht="4.95" customHeight="1" thickTop="1" thickBot="1" x14ac:dyDescent="0.35">
      <c r="J16" s="4"/>
      <c r="K16" s="4"/>
      <c r="L16" s="4"/>
      <c r="M16" s="4"/>
      <c r="S16" s="4"/>
      <c r="T16" s="15"/>
      <c r="U16" s="15"/>
      <c r="V16" s="2"/>
      <c r="W16" s="4"/>
      <c r="X16" s="4"/>
      <c r="Y16" s="4"/>
      <c r="Z16" s="4"/>
      <c r="AA16" s="4"/>
      <c r="AB16" s="4"/>
      <c r="AC16" s="4"/>
      <c r="AD16" s="4"/>
      <c r="AE16" s="4"/>
      <c r="AF16" s="21"/>
      <c r="AG16" s="4"/>
      <c r="AJ16" s="4"/>
      <c r="AK16" s="4"/>
      <c r="AL16" s="15"/>
      <c r="AM16" s="15"/>
      <c r="AN16" s="2"/>
      <c r="AO16" s="4"/>
      <c r="AP16" s="4"/>
      <c r="AQ16" s="4"/>
      <c r="AR16" s="4"/>
      <c r="AS16" s="4"/>
      <c r="AT16" s="4"/>
      <c r="AU16" s="4"/>
      <c r="AV16" s="4"/>
      <c r="AW16" s="4"/>
      <c r="AX16" s="21"/>
      <c r="AY16" s="4"/>
      <c r="BB16" s="4"/>
      <c r="BC16" s="4"/>
      <c r="BD16" s="15"/>
      <c r="BE16" s="15"/>
      <c r="BF16" s="2"/>
      <c r="BG16" s="4"/>
      <c r="BH16" s="4"/>
      <c r="BI16" s="4"/>
      <c r="BJ16" s="4"/>
      <c r="BK16" s="4"/>
      <c r="BL16" s="4"/>
      <c r="BM16" s="4"/>
      <c r="BN16" s="4"/>
      <c r="BO16" s="4"/>
      <c r="BP16" s="21"/>
      <c r="BQ16" s="4"/>
      <c r="BT16" s="4"/>
      <c r="BU16" s="4"/>
      <c r="BV16" s="15"/>
      <c r="BW16" s="15"/>
      <c r="BX16" s="2"/>
      <c r="BY16" s="4"/>
      <c r="BZ16" s="4"/>
      <c r="CA16" s="4"/>
      <c r="CB16" s="4"/>
      <c r="CC16" s="4"/>
      <c r="CD16" s="4"/>
      <c r="CE16" s="4"/>
      <c r="CF16" s="4"/>
      <c r="CG16" s="4"/>
      <c r="CH16" s="21"/>
      <c r="CI16" s="4"/>
      <c r="CL16" s="4"/>
      <c r="CM16" s="4"/>
      <c r="CN16" s="15"/>
      <c r="CO16" s="15"/>
      <c r="CP16" s="2"/>
      <c r="CQ16" s="4"/>
      <c r="CR16" s="4"/>
      <c r="CS16" s="4"/>
      <c r="CT16" s="4"/>
      <c r="CU16" s="4"/>
      <c r="CV16" s="4"/>
      <c r="CW16" s="4"/>
      <c r="CX16" s="4"/>
      <c r="CY16" s="4"/>
      <c r="CZ16" s="21"/>
      <c r="DA16" s="4"/>
      <c r="DD16" s="4"/>
      <c r="DE16" s="4"/>
      <c r="DF16" s="15"/>
      <c r="DG16" s="15"/>
      <c r="DH16" s="2"/>
      <c r="DI16" s="4"/>
      <c r="DJ16" s="4"/>
      <c r="DK16" s="4"/>
      <c r="DL16" s="4"/>
      <c r="DM16" s="4"/>
      <c r="DN16" s="4"/>
      <c r="DO16" s="4"/>
      <c r="DP16" s="4"/>
      <c r="DQ16" s="4"/>
      <c r="DR16" s="21"/>
      <c r="DS16" s="4"/>
      <c r="DX16" s="66"/>
      <c r="DY16" s="66"/>
      <c r="DZ16" s="66"/>
      <c r="EA16" s="66"/>
      <c r="EB16" s="66"/>
      <c r="EC16" s="66"/>
      <c r="ED16" s="66"/>
      <c r="EE16" s="66"/>
      <c r="EF16" s="66"/>
      <c r="EG16" s="66"/>
      <c r="EH16" s="66"/>
      <c r="EI16" s="59"/>
      <c r="EJ16" s="58"/>
      <c r="EK16" s="67"/>
      <c r="EL16" s="58"/>
      <c r="EM16" s="64"/>
      <c r="EN16" s="68"/>
      <c r="EO16" s="25"/>
      <c r="GL16" s="17"/>
    </row>
    <row r="17" spans="2:194" s="17" customFormat="1" ht="31.95" customHeight="1" thickTop="1" thickBot="1" x14ac:dyDescent="0.35">
      <c r="B17" s="16" t="s">
        <v>9</v>
      </c>
      <c r="C17" s="16"/>
      <c r="D17" s="41">
        <v>0</v>
      </c>
      <c r="J17" s="124"/>
      <c r="K17" s="124"/>
      <c r="L17" s="124"/>
      <c r="M17" s="124"/>
      <c r="S17" s="18"/>
      <c r="T17" s="19" t="s">
        <v>19</v>
      </c>
      <c r="U17" s="19"/>
      <c r="V17" s="41"/>
      <c r="W17" s="18"/>
      <c r="X17" s="18"/>
      <c r="Y17" s="18"/>
      <c r="Z17" s="18"/>
      <c r="AA17" s="18"/>
      <c r="AB17" s="124"/>
      <c r="AC17" s="124"/>
      <c r="AD17" s="124"/>
      <c r="AE17" s="124"/>
      <c r="AF17" s="20"/>
      <c r="AG17" s="18"/>
      <c r="AJ17" s="18"/>
      <c r="AK17" s="18"/>
      <c r="AL17" s="19" t="s">
        <v>29</v>
      </c>
      <c r="AM17" s="19"/>
      <c r="AN17" s="41"/>
      <c r="AO17" s="18"/>
      <c r="AP17" s="18"/>
      <c r="AQ17" s="18"/>
      <c r="AR17" s="18"/>
      <c r="AS17" s="18"/>
      <c r="AT17" s="124"/>
      <c r="AU17" s="124"/>
      <c r="AV17" s="124"/>
      <c r="AW17" s="124"/>
      <c r="AX17" s="20"/>
      <c r="AY17" s="18"/>
      <c r="BB17" s="18"/>
      <c r="BC17" s="18"/>
      <c r="BD17" s="19" t="s">
        <v>39</v>
      </c>
      <c r="BE17" s="19"/>
      <c r="BF17" s="41"/>
      <c r="BG17" s="18"/>
      <c r="BH17" s="18"/>
      <c r="BI17" s="18"/>
      <c r="BJ17" s="18"/>
      <c r="BK17" s="18"/>
      <c r="BL17" s="124"/>
      <c r="BM17" s="124"/>
      <c r="BN17" s="124"/>
      <c r="BO17" s="124"/>
      <c r="BP17" s="20"/>
      <c r="BQ17" s="18"/>
      <c r="BT17" s="18"/>
      <c r="BU17" s="18"/>
      <c r="BV17" s="19" t="s">
        <v>49</v>
      </c>
      <c r="BW17" s="19"/>
      <c r="BX17" s="41"/>
      <c r="BY17" s="18"/>
      <c r="BZ17" s="18"/>
      <c r="CA17" s="18"/>
      <c r="CB17" s="18"/>
      <c r="CC17" s="18"/>
      <c r="CD17" s="124"/>
      <c r="CE17" s="124"/>
      <c r="CF17" s="124"/>
      <c r="CG17" s="124"/>
      <c r="CH17" s="20"/>
      <c r="CI17" s="18"/>
      <c r="CL17" s="18"/>
      <c r="CM17" s="18"/>
      <c r="CN17" s="19" t="s">
        <v>59</v>
      </c>
      <c r="CO17" s="19"/>
      <c r="CP17" s="41"/>
      <c r="CQ17" s="18"/>
      <c r="CR17" s="18"/>
      <c r="CS17" s="18"/>
      <c r="CT17" s="18"/>
      <c r="CU17" s="18"/>
      <c r="CV17" s="124"/>
      <c r="CW17" s="124"/>
      <c r="CX17" s="124"/>
      <c r="CY17" s="124"/>
      <c r="CZ17" s="20"/>
      <c r="DA17" s="18"/>
      <c r="DD17" s="4"/>
      <c r="DE17" s="4"/>
      <c r="DF17" s="15" t="s">
        <v>69</v>
      </c>
      <c r="DG17" s="15"/>
      <c r="DH17" s="41"/>
      <c r="DI17" s="4"/>
      <c r="DJ17" s="4"/>
      <c r="DK17" s="4"/>
      <c r="DL17" s="4"/>
      <c r="DM17" s="4"/>
      <c r="DR17" s="21"/>
      <c r="DS17" s="4"/>
      <c r="DX17" s="56" t="s">
        <v>80</v>
      </c>
      <c r="DY17" s="56"/>
      <c r="DZ17" s="81">
        <f>DH19</f>
        <v>0</v>
      </c>
      <c r="EA17" s="81">
        <f>DH11</f>
        <v>0</v>
      </c>
      <c r="EB17" s="81">
        <f>DH5</f>
        <v>0</v>
      </c>
      <c r="EC17" s="81">
        <f>DH21</f>
        <v>0</v>
      </c>
      <c r="ED17" s="81">
        <f>DH13</f>
        <v>0</v>
      </c>
      <c r="EE17" s="81">
        <f>DH17</f>
        <v>0</v>
      </c>
      <c r="EF17" s="81">
        <f>DH7</f>
        <v>0</v>
      </c>
      <c r="EG17" s="81">
        <f>DH15</f>
        <v>0</v>
      </c>
      <c r="EH17" s="81">
        <f>DH9</f>
        <v>0</v>
      </c>
      <c r="EI17" s="59"/>
      <c r="EJ17" s="61"/>
      <c r="EK17" s="62" t="s">
        <v>88</v>
      </c>
      <c r="EL17" s="63"/>
      <c r="EM17" s="64">
        <f>EF19</f>
        <v>1</v>
      </c>
      <c r="EN17" s="65"/>
      <c r="EO17" s="26"/>
    </row>
    <row r="18" spans="2:194" ht="4.95" customHeight="1" thickTop="1" thickBot="1" x14ac:dyDescent="0.35">
      <c r="S18" s="4"/>
      <c r="T18" s="15"/>
      <c r="U18" s="15"/>
      <c r="V18" s="2"/>
      <c r="W18" s="4"/>
      <c r="X18" s="4"/>
      <c r="Y18" s="4"/>
      <c r="Z18" s="4"/>
      <c r="AA18" s="4"/>
      <c r="AB18" s="4"/>
      <c r="AC18" s="4"/>
      <c r="AD18" s="4"/>
      <c r="AE18" s="4"/>
      <c r="AF18" s="4"/>
      <c r="AG18" s="4"/>
      <c r="AJ18" s="4"/>
      <c r="AK18" s="4"/>
      <c r="AL18" s="15"/>
      <c r="AM18" s="15"/>
      <c r="AN18" s="2"/>
      <c r="AO18" s="4"/>
      <c r="AP18" s="4"/>
      <c r="AQ18" s="4"/>
      <c r="AR18" s="4"/>
      <c r="AS18" s="4"/>
      <c r="AT18" s="4"/>
      <c r="AU18" s="4"/>
      <c r="AV18" s="4"/>
      <c r="AW18" s="4"/>
      <c r="AX18" s="4"/>
      <c r="AY18" s="4"/>
      <c r="BB18" s="4"/>
      <c r="BC18" s="4"/>
      <c r="BD18" s="15"/>
      <c r="BE18" s="15"/>
      <c r="BF18" s="2"/>
      <c r="BG18" s="4"/>
      <c r="BH18" s="4"/>
      <c r="BI18" s="4"/>
      <c r="BJ18" s="4"/>
      <c r="BK18" s="4"/>
      <c r="BL18" s="4"/>
      <c r="BM18" s="4"/>
      <c r="BN18" s="4"/>
      <c r="BO18" s="4"/>
      <c r="BP18" s="4"/>
      <c r="BQ18" s="4"/>
      <c r="BT18" s="4"/>
      <c r="BU18" s="4"/>
      <c r="BV18" s="15"/>
      <c r="BW18" s="15"/>
      <c r="BX18" s="2"/>
      <c r="BY18" s="4"/>
      <c r="BZ18" s="4"/>
      <c r="CA18" s="4"/>
      <c r="CB18" s="4"/>
      <c r="CC18" s="4"/>
      <c r="CD18" s="4"/>
      <c r="CE18" s="4"/>
      <c r="CF18" s="4"/>
      <c r="CG18" s="4"/>
      <c r="CH18" s="4"/>
      <c r="CI18" s="4"/>
      <c r="CL18" s="4"/>
      <c r="CM18" s="4"/>
      <c r="CN18" s="15"/>
      <c r="CO18" s="15"/>
      <c r="CP18" s="2"/>
      <c r="CQ18" s="4"/>
      <c r="CR18" s="4"/>
      <c r="CS18" s="4"/>
      <c r="CT18" s="4"/>
      <c r="CU18" s="4"/>
      <c r="CV18" s="4"/>
      <c r="CW18" s="4"/>
      <c r="CX18" s="4"/>
      <c r="CY18" s="4"/>
      <c r="CZ18" s="4"/>
      <c r="DA18" s="4"/>
      <c r="DD18" s="4"/>
      <c r="DE18" s="4"/>
      <c r="DF18" s="15"/>
      <c r="DG18" s="15"/>
      <c r="DH18" s="2"/>
      <c r="DI18" s="4"/>
      <c r="DJ18" s="4"/>
      <c r="DK18" s="4"/>
      <c r="DL18" s="4"/>
      <c r="DM18" s="4"/>
      <c r="DN18" s="4"/>
      <c r="DO18" s="4"/>
      <c r="DP18" s="4"/>
      <c r="DQ18" s="4"/>
      <c r="DR18" s="4"/>
      <c r="DS18" s="4"/>
      <c r="DX18" s="66"/>
      <c r="DY18" s="56"/>
      <c r="DZ18" s="66"/>
      <c r="EA18" s="66"/>
      <c r="EB18" s="66"/>
      <c r="EC18" s="66"/>
      <c r="ED18" s="66"/>
      <c r="EE18" s="66"/>
      <c r="EF18" s="66"/>
      <c r="EG18" s="66"/>
      <c r="EH18" s="66"/>
      <c r="EI18" s="59"/>
      <c r="EJ18" s="58"/>
      <c r="EK18" s="67"/>
      <c r="EL18" s="58"/>
      <c r="EM18" s="64"/>
      <c r="EN18" s="68"/>
      <c r="EO18" s="25"/>
      <c r="GL18" s="17"/>
    </row>
    <row r="19" spans="2:194" s="17" customFormat="1" ht="31.95" customHeight="1" thickTop="1" thickBot="1" x14ac:dyDescent="0.35">
      <c r="B19" s="16" t="s">
        <v>10</v>
      </c>
      <c r="C19" s="16"/>
      <c r="D19" s="41">
        <v>1</v>
      </c>
      <c r="S19" s="18"/>
      <c r="T19" s="19" t="s">
        <v>20</v>
      </c>
      <c r="U19" s="19"/>
      <c r="V19" s="41"/>
      <c r="W19" s="18"/>
      <c r="X19" s="18"/>
      <c r="Y19" s="18"/>
      <c r="Z19" s="18"/>
      <c r="AA19" s="18"/>
      <c r="AB19" s="18"/>
      <c r="AC19" s="18"/>
      <c r="AD19" s="18"/>
      <c r="AE19" s="18"/>
      <c r="AF19" s="18"/>
      <c r="AG19" s="18"/>
      <c r="AJ19" s="18"/>
      <c r="AK19" s="18"/>
      <c r="AL19" s="19" t="s">
        <v>30</v>
      </c>
      <c r="AM19" s="19"/>
      <c r="AN19" s="41"/>
      <c r="AO19" s="18"/>
      <c r="AP19" s="18"/>
      <c r="AQ19" s="18"/>
      <c r="AR19" s="18"/>
      <c r="AS19" s="18"/>
      <c r="AT19" s="18"/>
      <c r="AU19" s="18"/>
      <c r="AV19" s="18"/>
      <c r="AW19" s="18"/>
      <c r="AX19" s="18"/>
      <c r="AY19" s="18"/>
      <c r="BB19" s="18"/>
      <c r="BC19" s="18"/>
      <c r="BD19" s="19" t="s">
        <v>40</v>
      </c>
      <c r="BE19" s="19"/>
      <c r="BF19" s="41"/>
      <c r="BG19" s="18"/>
      <c r="BH19" s="18"/>
      <c r="BI19" s="18"/>
      <c r="BJ19" s="18"/>
      <c r="BK19" s="18"/>
      <c r="BL19" s="18"/>
      <c r="BM19" s="18"/>
      <c r="BN19" s="18"/>
      <c r="BO19" s="18"/>
      <c r="BP19" s="18"/>
      <c r="BQ19" s="18"/>
      <c r="BT19" s="18"/>
      <c r="BU19" s="18"/>
      <c r="BV19" s="19" t="s">
        <v>50</v>
      </c>
      <c r="BW19" s="19"/>
      <c r="BX19" s="41"/>
      <c r="BY19" s="18"/>
      <c r="BZ19" s="18"/>
      <c r="CA19" s="18"/>
      <c r="CB19" s="18"/>
      <c r="CC19" s="18"/>
      <c r="CD19" s="18"/>
      <c r="CE19" s="18"/>
      <c r="CF19" s="18"/>
      <c r="CG19" s="18"/>
      <c r="CH19" s="18"/>
      <c r="CI19" s="18"/>
      <c r="CL19" s="18"/>
      <c r="CM19" s="18"/>
      <c r="CN19" s="19" t="s">
        <v>60</v>
      </c>
      <c r="CO19" s="19"/>
      <c r="CP19" s="41"/>
      <c r="CQ19" s="18"/>
      <c r="CR19" s="18"/>
      <c r="CS19" s="18"/>
      <c r="CT19" s="18"/>
      <c r="CU19" s="18"/>
      <c r="CV19" s="18"/>
      <c r="CW19" s="18"/>
      <c r="CX19" s="18"/>
      <c r="CY19" s="18"/>
      <c r="CZ19" s="18"/>
      <c r="DA19" s="18"/>
      <c r="DD19" s="4"/>
      <c r="DE19" s="4"/>
      <c r="DF19" s="15" t="s">
        <v>70</v>
      </c>
      <c r="DG19" s="15"/>
      <c r="DH19" s="41"/>
      <c r="DI19" s="4"/>
      <c r="DJ19" s="4"/>
      <c r="DK19" s="4"/>
      <c r="DL19" s="4"/>
      <c r="DM19" s="4"/>
      <c r="DN19" s="4"/>
      <c r="DO19" s="4"/>
      <c r="DP19" s="4"/>
      <c r="DQ19" s="4"/>
      <c r="DR19" s="4"/>
      <c r="DS19" s="4"/>
      <c r="DX19" s="76" t="s">
        <v>73</v>
      </c>
      <c r="DY19" s="77"/>
      <c r="DZ19" s="78">
        <f t="shared" ref="DZ19:EH19" si="0">SUM(DZ5:DZ17)</f>
        <v>2</v>
      </c>
      <c r="EA19" s="78">
        <f t="shared" si="0"/>
        <v>1</v>
      </c>
      <c r="EB19" s="78">
        <f t="shared" si="0"/>
        <v>0</v>
      </c>
      <c r="EC19" s="78">
        <f t="shared" si="0"/>
        <v>1</v>
      </c>
      <c r="ED19" s="78">
        <f t="shared" si="0"/>
        <v>2</v>
      </c>
      <c r="EE19" s="78">
        <f t="shared" si="0"/>
        <v>0</v>
      </c>
      <c r="EF19" s="78">
        <f t="shared" si="0"/>
        <v>1</v>
      </c>
      <c r="EG19" s="78">
        <f t="shared" si="0"/>
        <v>2</v>
      </c>
      <c r="EH19" s="79">
        <f t="shared" si="0"/>
        <v>1</v>
      </c>
      <c r="EI19" s="109" t="str">
        <f>IF(SUM(DZ19:EH19)=70,"OK","Checksum NOK")</f>
        <v>Checksum NOK</v>
      </c>
      <c r="EJ19" s="61"/>
      <c r="EK19" s="74" t="s">
        <v>89</v>
      </c>
      <c r="EL19" s="75"/>
      <c r="EM19" s="64">
        <f>EG19</f>
        <v>2</v>
      </c>
      <c r="EN19" s="65"/>
      <c r="EO19" s="26"/>
    </row>
    <row r="20" spans="2:194" ht="4.95" customHeight="1" thickTop="1" thickBot="1" x14ac:dyDescent="0.35">
      <c r="S20" s="4"/>
      <c r="T20" s="15"/>
      <c r="U20" s="15"/>
      <c r="V20" s="2"/>
      <c r="W20" s="4"/>
      <c r="X20" s="4"/>
      <c r="Y20" s="4"/>
      <c r="Z20" s="4"/>
      <c r="AA20" s="4"/>
      <c r="AB20" s="4"/>
      <c r="AC20" s="4"/>
      <c r="AD20" s="4"/>
      <c r="AE20" s="4"/>
      <c r="AF20" s="4"/>
      <c r="AG20" s="4"/>
      <c r="AJ20" s="4"/>
      <c r="AK20" s="4"/>
      <c r="AL20" s="15"/>
      <c r="AM20" s="15"/>
      <c r="AN20" s="2"/>
      <c r="AO20" s="4"/>
      <c r="AP20" s="4"/>
      <c r="AQ20" s="4"/>
      <c r="AR20" s="4"/>
      <c r="AS20" s="4"/>
      <c r="AT20" s="4"/>
      <c r="AU20" s="4"/>
      <c r="AV20" s="4"/>
      <c r="AW20" s="4"/>
      <c r="AX20" s="4"/>
      <c r="AY20" s="4"/>
      <c r="BB20" s="4"/>
      <c r="BC20" s="4"/>
      <c r="BD20" s="15"/>
      <c r="BE20" s="15"/>
      <c r="BF20" s="2"/>
      <c r="BG20" s="4"/>
      <c r="BH20" s="4"/>
      <c r="BI20" s="4"/>
      <c r="BJ20" s="4"/>
      <c r="BK20" s="4"/>
      <c r="BL20" s="4"/>
      <c r="BM20" s="4"/>
      <c r="BN20" s="4"/>
      <c r="BO20" s="4"/>
      <c r="BP20" s="4"/>
      <c r="BQ20" s="4"/>
      <c r="BT20" s="4"/>
      <c r="BU20" s="4"/>
      <c r="BV20" s="15"/>
      <c r="BW20" s="15"/>
      <c r="BX20" s="2"/>
      <c r="BY20" s="4"/>
      <c r="BZ20" s="4"/>
      <c r="CA20" s="4"/>
      <c r="CB20" s="4"/>
      <c r="CC20" s="4"/>
      <c r="CD20" s="4"/>
      <c r="CE20" s="4"/>
      <c r="CF20" s="4"/>
      <c r="CG20" s="4"/>
      <c r="CH20" s="4"/>
      <c r="CI20" s="4"/>
      <c r="CL20" s="4"/>
      <c r="CM20" s="4"/>
      <c r="CN20" s="15"/>
      <c r="CO20" s="15"/>
      <c r="CP20" s="2"/>
      <c r="CQ20" s="4"/>
      <c r="CR20" s="4"/>
      <c r="CS20" s="4"/>
      <c r="CT20" s="4"/>
      <c r="CU20" s="4"/>
      <c r="CV20" s="4"/>
      <c r="CW20" s="4"/>
      <c r="CX20" s="4"/>
      <c r="CY20" s="4"/>
      <c r="CZ20" s="4"/>
      <c r="DA20" s="4"/>
      <c r="DD20" s="4"/>
      <c r="DE20" s="4"/>
      <c r="DF20" s="15"/>
      <c r="DG20" s="15"/>
      <c r="DH20" s="2"/>
      <c r="DI20" s="4"/>
      <c r="DJ20" s="4"/>
      <c r="DK20" s="4"/>
      <c r="DL20" s="4"/>
      <c r="DM20" s="4"/>
      <c r="DN20" s="4"/>
      <c r="DO20" s="4"/>
      <c r="DP20" s="4"/>
      <c r="DQ20" s="4"/>
      <c r="DR20" s="4"/>
      <c r="DS20" s="4"/>
      <c r="DX20" s="58"/>
      <c r="DY20" s="58"/>
      <c r="DZ20" s="58"/>
      <c r="EA20" s="58"/>
      <c r="EB20" s="70"/>
      <c r="EC20" s="70"/>
      <c r="ED20" s="70"/>
      <c r="EE20" s="70"/>
      <c r="EF20" s="70"/>
      <c r="EG20" s="70"/>
      <c r="EH20" s="70"/>
      <c r="EI20" s="59"/>
      <c r="EJ20" s="58"/>
      <c r="EK20" s="67"/>
      <c r="EL20" s="58"/>
      <c r="EM20" s="64"/>
      <c r="EN20" s="68"/>
      <c r="EO20" s="25"/>
      <c r="GL20" s="17"/>
    </row>
    <row r="21" spans="2:194" s="17" customFormat="1" ht="31.95" customHeight="1" thickTop="1" thickBot="1" x14ac:dyDescent="0.35">
      <c r="B21" s="16" t="s">
        <v>11</v>
      </c>
      <c r="C21" s="16"/>
      <c r="D21" s="41">
        <v>0</v>
      </c>
      <c r="S21" s="18"/>
      <c r="T21" s="19" t="s">
        <v>21</v>
      </c>
      <c r="U21" s="19"/>
      <c r="V21" s="41"/>
      <c r="W21" s="18"/>
      <c r="X21" s="18"/>
      <c r="Y21" s="18"/>
      <c r="Z21" s="18"/>
      <c r="AA21" s="18"/>
      <c r="AB21" s="18"/>
      <c r="AC21" s="18"/>
      <c r="AD21" s="18"/>
      <c r="AE21" s="18"/>
      <c r="AF21" s="18"/>
      <c r="AG21" s="18"/>
      <c r="AJ21" s="18"/>
      <c r="AK21" s="18"/>
      <c r="AL21" s="19" t="s">
        <v>31</v>
      </c>
      <c r="AM21" s="19"/>
      <c r="AN21" s="41"/>
      <c r="AO21" s="18"/>
      <c r="AP21" s="18"/>
      <c r="AQ21" s="18"/>
      <c r="AR21" s="18"/>
      <c r="AS21" s="18"/>
      <c r="AT21" s="18"/>
      <c r="AU21" s="18"/>
      <c r="AV21" s="18"/>
      <c r="AW21" s="18"/>
      <c r="AX21" s="18"/>
      <c r="AY21" s="18"/>
      <c r="BB21" s="18"/>
      <c r="BC21" s="18"/>
      <c r="BD21" s="19" t="s">
        <v>41</v>
      </c>
      <c r="BE21" s="19"/>
      <c r="BF21" s="41"/>
      <c r="BG21" s="18"/>
      <c r="BH21" s="18"/>
      <c r="BI21" s="18"/>
      <c r="BJ21" s="18"/>
      <c r="BK21" s="18"/>
      <c r="BL21" s="18"/>
      <c r="BM21" s="18"/>
      <c r="BN21" s="18"/>
      <c r="BO21" s="18"/>
      <c r="BP21" s="18"/>
      <c r="BQ21" s="18"/>
      <c r="BT21" s="18"/>
      <c r="BU21" s="18"/>
      <c r="BV21" s="19" t="s">
        <v>51</v>
      </c>
      <c r="BW21" s="19"/>
      <c r="BX21" s="41"/>
      <c r="BY21" s="18"/>
      <c r="BZ21" s="18"/>
      <c r="CA21" s="18"/>
      <c r="CB21" s="18"/>
      <c r="CC21" s="18"/>
      <c r="CD21" s="18"/>
      <c r="CE21" s="18"/>
      <c r="CF21" s="18"/>
      <c r="CG21" s="18"/>
      <c r="CH21" s="18"/>
      <c r="CI21" s="18"/>
      <c r="CL21" s="18"/>
      <c r="CM21" s="18"/>
      <c r="CN21" s="19" t="s">
        <v>61</v>
      </c>
      <c r="CO21" s="19"/>
      <c r="CP21" s="41"/>
      <c r="CQ21" s="18"/>
      <c r="CR21" s="18"/>
      <c r="CS21" s="18"/>
      <c r="CT21" s="18"/>
      <c r="CU21" s="18"/>
      <c r="CV21" s="18"/>
      <c r="CW21" s="18"/>
      <c r="CX21" s="18"/>
      <c r="CY21" s="18"/>
      <c r="CZ21" s="18"/>
      <c r="DA21" s="18"/>
      <c r="DD21" s="4"/>
      <c r="DE21" s="4"/>
      <c r="DF21" s="15" t="s">
        <v>71</v>
      </c>
      <c r="DG21" s="15"/>
      <c r="DH21" s="41"/>
      <c r="DI21" s="4"/>
      <c r="DJ21" s="4"/>
      <c r="DK21" s="4"/>
      <c r="DL21" s="4"/>
      <c r="DM21" s="4"/>
      <c r="DN21" s="4"/>
      <c r="DO21" s="4"/>
      <c r="DP21" s="4"/>
      <c r="DQ21" s="4"/>
      <c r="DR21" s="4"/>
      <c r="DS21" s="4"/>
      <c r="DX21" s="56" t="s">
        <v>91</v>
      </c>
      <c r="DY21" s="55"/>
      <c r="DZ21" s="55"/>
      <c r="EA21" s="55"/>
      <c r="EB21" s="70"/>
      <c r="EC21" s="70"/>
      <c r="ED21" s="70"/>
      <c r="EE21" s="70"/>
      <c r="EF21" s="70"/>
      <c r="EG21" s="70"/>
      <c r="EH21" s="70"/>
      <c r="EI21" s="59"/>
      <c r="EJ21" s="61"/>
      <c r="EK21" s="62" t="s">
        <v>90</v>
      </c>
      <c r="EL21" s="63"/>
      <c r="EM21" s="64">
        <f>EH19</f>
        <v>1</v>
      </c>
      <c r="EN21" s="65"/>
      <c r="EO21" s="26"/>
    </row>
    <row r="22" spans="2:194" ht="4.95" customHeight="1" thickTop="1" x14ac:dyDescent="0.3">
      <c r="D22" s="42"/>
      <c r="V22" s="42"/>
      <c r="AJ22" s="4"/>
      <c r="AK22" s="4"/>
      <c r="AL22" s="5"/>
      <c r="AM22" s="5"/>
      <c r="AN22" s="42"/>
      <c r="AO22" s="4"/>
      <c r="AP22" s="4"/>
      <c r="AQ22" s="4"/>
      <c r="AR22" s="4"/>
      <c r="AS22" s="4"/>
      <c r="AT22" s="4"/>
      <c r="AU22" s="4"/>
      <c r="AV22" s="4"/>
      <c r="AW22" s="4"/>
      <c r="AX22" s="4"/>
      <c r="AY22" s="4"/>
      <c r="BB22" s="4"/>
      <c r="BC22" s="4"/>
      <c r="BD22" s="5"/>
      <c r="BE22" s="5"/>
      <c r="BF22" s="42"/>
      <c r="BG22" s="4"/>
      <c r="BH22" s="4"/>
      <c r="BI22" s="4"/>
      <c r="BJ22" s="4"/>
      <c r="BK22" s="4"/>
      <c r="BL22" s="4"/>
      <c r="BM22" s="4"/>
      <c r="BN22" s="4"/>
      <c r="BO22" s="4"/>
      <c r="BP22" s="4"/>
      <c r="BQ22" s="4"/>
      <c r="BT22" s="4"/>
      <c r="BU22" s="4"/>
      <c r="BV22" s="5"/>
      <c r="BW22" s="5"/>
      <c r="BX22" s="42"/>
      <c r="BY22" s="4"/>
      <c r="BZ22" s="4"/>
      <c r="CA22" s="4"/>
      <c r="CB22" s="4"/>
      <c r="CC22" s="4"/>
      <c r="CD22" s="4"/>
      <c r="CE22" s="4"/>
      <c r="CF22" s="4"/>
      <c r="CG22" s="4"/>
      <c r="CH22" s="4"/>
      <c r="CI22" s="4"/>
      <c r="CL22" s="4"/>
      <c r="CM22" s="4"/>
      <c r="CN22" s="15"/>
      <c r="CO22" s="15"/>
      <c r="CP22" s="42"/>
      <c r="CQ22" s="4"/>
      <c r="CR22" s="4"/>
      <c r="CS22" s="4"/>
      <c r="CT22" s="4"/>
      <c r="CU22" s="4"/>
      <c r="CV22" s="4"/>
      <c r="CW22" s="4"/>
      <c r="CX22" s="4"/>
      <c r="CY22" s="4"/>
      <c r="CZ22" s="4"/>
      <c r="DA22" s="4"/>
      <c r="DD22" s="4"/>
      <c r="DE22" s="4"/>
      <c r="DF22" s="5"/>
      <c r="DG22" s="5"/>
      <c r="DH22" s="42"/>
      <c r="DI22" s="4"/>
      <c r="DJ22" s="4"/>
      <c r="DK22" s="4"/>
      <c r="DL22" s="4"/>
      <c r="DM22" s="4"/>
      <c r="DN22" s="4"/>
      <c r="DO22" s="4"/>
      <c r="DP22" s="4"/>
      <c r="DQ22" s="4"/>
      <c r="DR22" s="4"/>
      <c r="DS22" s="4"/>
      <c r="DX22" s="58"/>
      <c r="DY22" s="58"/>
      <c r="DZ22" s="58"/>
      <c r="EA22" s="70"/>
      <c r="EB22" s="70"/>
      <c r="EC22" s="70"/>
      <c r="ED22" s="70"/>
      <c r="EE22" s="70"/>
      <c r="EF22" s="70"/>
      <c r="EG22" s="70"/>
      <c r="EH22" s="70"/>
      <c r="EI22" s="59"/>
      <c r="EJ22" s="55"/>
      <c r="EK22" s="55"/>
      <c r="EL22" s="55"/>
      <c r="EM22" s="55"/>
      <c r="EN22" s="55"/>
      <c r="GL22" s="17"/>
    </row>
    <row r="23" spans="2:194" ht="12.75" customHeight="1" x14ac:dyDescent="0.3">
      <c r="F23" s="122"/>
      <c r="G23" s="122"/>
      <c r="H23" s="122"/>
      <c r="I23" s="122"/>
      <c r="J23" s="122"/>
      <c r="K23" s="122"/>
      <c r="L23" s="122"/>
      <c r="M23" s="122"/>
      <c r="N23" s="122"/>
      <c r="DX23" s="58"/>
      <c r="DY23" s="58"/>
      <c r="DZ23" s="58"/>
      <c r="EA23" s="71"/>
      <c r="EB23" s="70"/>
      <c r="EC23" s="70"/>
      <c r="ED23" s="70"/>
      <c r="EE23" s="70"/>
      <c r="EF23" s="70"/>
      <c r="EG23" s="70"/>
      <c r="EH23" s="70"/>
      <c r="EI23" s="59"/>
      <c r="EJ23" s="58"/>
      <c r="EK23" s="58"/>
      <c r="EL23" s="58"/>
      <c r="EM23" s="58"/>
      <c r="EN23" s="58"/>
      <c r="GL23" s="17"/>
    </row>
    <row r="24" spans="2:194" s="17" customFormat="1" ht="19.95" customHeight="1" x14ac:dyDescent="0.3">
      <c r="B24" s="16"/>
      <c r="C24" s="16"/>
      <c r="D24" s="2"/>
      <c r="F24" s="122"/>
      <c r="G24" s="122"/>
      <c r="H24" s="122"/>
      <c r="I24" s="122"/>
      <c r="J24" s="122"/>
      <c r="K24" s="122"/>
      <c r="L24" s="122"/>
      <c r="M24" s="122"/>
      <c r="N24" s="122"/>
      <c r="DX24" s="55"/>
      <c r="DY24" s="55"/>
      <c r="DZ24" s="55"/>
      <c r="EA24" s="55"/>
      <c r="EB24" s="72"/>
      <c r="EC24" s="72"/>
      <c r="ED24" s="72"/>
      <c r="EE24" s="72"/>
      <c r="EF24" s="72"/>
      <c r="EG24" s="72"/>
      <c r="EH24" s="72"/>
      <c r="EI24" s="62"/>
      <c r="EJ24" s="55"/>
      <c r="EK24" s="55"/>
      <c r="EL24" s="55"/>
      <c r="EM24" s="55"/>
      <c r="EN24" s="55"/>
    </row>
    <row r="25" spans="2:194" s="17" customFormat="1" ht="19.95" customHeight="1" x14ac:dyDescent="0.3">
      <c r="B25" s="16"/>
      <c r="C25" s="16"/>
      <c r="D25" s="2"/>
      <c r="F25" s="122"/>
      <c r="G25" s="122"/>
      <c r="H25" s="122"/>
      <c r="I25" s="122"/>
      <c r="J25" s="122"/>
      <c r="K25" s="122"/>
      <c r="L25" s="122"/>
      <c r="M25" s="122"/>
      <c r="N25" s="122"/>
      <c r="DX25" s="55"/>
      <c r="DY25" s="55"/>
      <c r="DZ25" s="55"/>
      <c r="EA25" s="55"/>
      <c r="EB25" s="72"/>
      <c r="EC25" s="72"/>
      <c r="ED25" s="72"/>
      <c r="EE25" s="72"/>
      <c r="EF25" s="72"/>
      <c r="EG25" s="72"/>
      <c r="EH25" s="72"/>
      <c r="EI25" s="62"/>
      <c r="EJ25" s="55"/>
      <c r="EK25" s="55"/>
      <c r="EL25" s="55"/>
      <c r="EM25" s="55"/>
      <c r="EN25" s="55"/>
    </row>
    <row r="26" spans="2:194" s="17" customFormat="1" ht="19.95" customHeight="1" x14ac:dyDescent="0.3">
      <c r="B26" s="16"/>
      <c r="C26" s="16"/>
      <c r="D26" s="2"/>
      <c r="DX26" s="55"/>
      <c r="DY26" s="55"/>
      <c r="DZ26" s="55"/>
      <c r="EA26" s="55"/>
      <c r="EB26" s="55"/>
      <c r="EC26" s="55"/>
      <c r="ED26" s="55"/>
      <c r="EE26" s="55"/>
      <c r="EF26" s="55"/>
      <c r="EG26" s="55"/>
      <c r="EH26" s="55"/>
      <c r="EI26" s="55"/>
      <c r="EJ26" s="55"/>
      <c r="EK26" s="55"/>
      <c r="EL26" s="55"/>
      <c r="EM26" s="55"/>
      <c r="EN26" s="55"/>
    </row>
    <row r="27" spans="2:194" s="17" customFormat="1" ht="19.95" customHeight="1" x14ac:dyDescent="0.3">
      <c r="B27" s="16"/>
      <c r="C27" s="16"/>
      <c r="D27" s="2"/>
      <c r="DX27" s="55"/>
      <c r="DY27" s="55"/>
      <c r="DZ27" s="55"/>
      <c r="EA27" s="55"/>
      <c r="EB27" s="55"/>
      <c r="EC27" s="55"/>
      <c r="ED27" s="55"/>
      <c r="EE27" s="55"/>
      <c r="EF27" s="55"/>
      <c r="EG27" s="55"/>
      <c r="EH27" s="55"/>
      <c r="EI27" s="55"/>
      <c r="EJ27" s="55"/>
      <c r="EK27" s="55"/>
      <c r="EL27" s="55"/>
      <c r="EM27" s="55"/>
      <c r="EN27" s="55"/>
    </row>
    <row r="28" spans="2:194" s="17" customFormat="1" ht="19.95" customHeight="1" x14ac:dyDescent="0.3">
      <c r="B28" s="16"/>
      <c r="C28" s="16"/>
      <c r="D28" s="2"/>
      <c r="DX28" s="55"/>
      <c r="DY28" s="55"/>
      <c r="DZ28" s="55"/>
      <c r="EA28" s="55"/>
      <c r="EB28" s="55"/>
      <c r="EC28" s="55"/>
      <c r="ED28" s="55"/>
      <c r="EE28" s="55"/>
      <c r="EF28" s="55"/>
      <c r="EG28" s="55"/>
      <c r="EH28" s="55"/>
      <c r="EI28" s="55"/>
      <c r="EJ28" s="55"/>
      <c r="EK28" s="55"/>
      <c r="EL28" s="55"/>
      <c r="EM28" s="55"/>
      <c r="EN28" s="55"/>
    </row>
    <row r="29" spans="2:194" s="17" customFormat="1" ht="19.95" customHeight="1" x14ac:dyDescent="0.3">
      <c r="B29" s="16"/>
      <c r="C29" s="16"/>
      <c r="D29" s="2"/>
      <c r="P29" s="18"/>
      <c r="Q29" s="18"/>
      <c r="R29" s="18"/>
      <c r="S29" s="18"/>
      <c r="DX29" s="55"/>
      <c r="DY29" s="55"/>
      <c r="DZ29" s="55"/>
      <c r="EA29" s="55"/>
      <c r="EB29" s="55"/>
      <c r="EC29" s="55"/>
      <c r="ED29" s="55"/>
      <c r="EE29" s="55"/>
      <c r="EF29" s="55"/>
      <c r="EG29" s="55"/>
      <c r="EH29" s="55"/>
      <c r="EI29" s="55"/>
      <c r="EJ29" s="55"/>
      <c r="EK29" s="55"/>
      <c r="EL29" s="55"/>
      <c r="EM29" s="55"/>
      <c r="EN29" s="55"/>
    </row>
    <row r="30" spans="2:194" s="17" customFormat="1" ht="19.95" customHeight="1" x14ac:dyDescent="0.3">
      <c r="B30" s="16"/>
      <c r="C30" s="16"/>
      <c r="D30" s="2"/>
      <c r="P30" s="10"/>
      <c r="Q30" s="10"/>
      <c r="R30" s="10"/>
      <c r="S30" s="10"/>
      <c r="DX30" s="55"/>
      <c r="DY30" s="55"/>
      <c r="DZ30" s="55"/>
      <c r="EA30" s="55"/>
      <c r="EB30" s="55"/>
      <c r="EC30" s="55"/>
      <c r="ED30" s="55"/>
      <c r="EE30" s="55"/>
      <c r="EF30" s="55"/>
      <c r="EG30" s="55"/>
      <c r="EH30" s="55"/>
      <c r="EI30" s="55"/>
      <c r="EJ30" s="55"/>
      <c r="EK30" s="55"/>
      <c r="EL30" s="55"/>
      <c r="EM30" s="55"/>
      <c r="EN30" s="55"/>
    </row>
    <row r="31" spans="2:194" s="17" customFormat="1" ht="19.95" customHeight="1" x14ac:dyDescent="0.3">
      <c r="B31" s="16"/>
      <c r="C31" s="16"/>
      <c r="D31" s="2"/>
      <c r="P31" s="18"/>
      <c r="Q31" s="18"/>
      <c r="R31" s="18"/>
      <c r="S31" s="18"/>
      <c r="DX31" s="55"/>
      <c r="DY31" s="55"/>
      <c r="DZ31" s="55"/>
      <c r="EA31" s="55"/>
      <c r="EB31" s="55"/>
      <c r="EC31" s="55"/>
      <c r="ED31" s="55"/>
      <c r="EE31" s="55"/>
      <c r="EF31" s="55"/>
      <c r="EG31" s="55"/>
      <c r="EH31" s="55"/>
      <c r="EI31" s="55"/>
      <c r="EJ31" s="55"/>
      <c r="EK31" s="55"/>
      <c r="EL31" s="55"/>
      <c r="EM31" s="55"/>
      <c r="EN31" s="55"/>
    </row>
    <row r="32" spans="2:194" s="17" customFormat="1" ht="19.95" customHeight="1" x14ac:dyDescent="0.3">
      <c r="B32" s="16"/>
      <c r="C32" s="16"/>
      <c r="D32" s="2"/>
      <c r="P32" s="18"/>
      <c r="Q32" s="18"/>
      <c r="R32" s="18"/>
      <c r="S32" s="18"/>
      <c r="DX32" s="55"/>
      <c r="DY32" s="55"/>
      <c r="DZ32" s="55"/>
      <c r="EA32" s="55"/>
      <c r="EB32" s="55"/>
      <c r="EC32" s="55"/>
      <c r="ED32" s="55"/>
      <c r="EE32" s="55"/>
      <c r="EF32" s="55"/>
      <c r="EG32" s="55"/>
      <c r="EH32" s="55"/>
      <c r="EI32" s="55"/>
      <c r="EJ32" s="55"/>
      <c r="EK32" s="55"/>
      <c r="EL32" s="55"/>
      <c r="EM32" s="55"/>
      <c r="EN32" s="55"/>
    </row>
    <row r="33" spans="16:144" x14ac:dyDescent="0.3">
      <c r="P33" s="4"/>
      <c r="Q33" s="4"/>
      <c r="R33" s="4"/>
      <c r="S33" s="4"/>
      <c r="DX33" s="58"/>
      <c r="DY33" s="58"/>
      <c r="DZ33" s="58"/>
      <c r="EA33" s="73"/>
      <c r="EB33" s="58"/>
      <c r="EC33" s="58"/>
      <c r="ED33" s="58"/>
      <c r="EE33" s="58"/>
      <c r="EF33" s="58"/>
      <c r="EG33" s="58"/>
      <c r="EH33" s="58"/>
      <c r="EI33" s="58"/>
      <c r="EJ33" s="58"/>
      <c r="EK33" s="58"/>
      <c r="EL33" s="58"/>
      <c r="EM33" s="58"/>
      <c r="EN33" s="58"/>
    </row>
    <row r="34" spans="16:144" x14ac:dyDescent="0.3">
      <c r="P34" s="4"/>
      <c r="Q34" s="4"/>
      <c r="R34" s="4"/>
      <c r="S34" s="4"/>
      <c r="DX34" s="58"/>
      <c r="DY34" s="58"/>
      <c r="DZ34" s="58"/>
      <c r="EA34" s="58"/>
      <c r="EB34" s="58"/>
      <c r="EC34" s="58"/>
      <c r="ED34" s="58"/>
      <c r="EE34" s="58"/>
      <c r="EF34" s="58"/>
      <c r="EG34" s="58"/>
      <c r="EH34" s="58"/>
      <c r="EI34" s="58"/>
      <c r="EJ34" s="58"/>
      <c r="EK34" s="58"/>
      <c r="EL34" s="58"/>
      <c r="EM34" s="58"/>
      <c r="EN34" s="58"/>
    </row>
    <row r="35" spans="16:144" x14ac:dyDescent="0.3">
      <c r="P35" s="4"/>
      <c r="Q35" s="4"/>
      <c r="R35" s="4"/>
      <c r="S35" s="4"/>
      <c r="DX35" s="58"/>
      <c r="DY35" s="58"/>
      <c r="DZ35" s="58"/>
      <c r="EA35" s="58"/>
      <c r="EB35" s="58"/>
      <c r="EC35" s="58"/>
      <c r="ED35" s="58"/>
      <c r="EE35" s="58"/>
      <c r="EF35" s="58"/>
      <c r="EG35" s="58"/>
      <c r="EH35" s="58"/>
      <c r="EI35" s="58"/>
      <c r="EJ35" s="58"/>
      <c r="EK35" s="58"/>
      <c r="EL35" s="58"/>
      <c r="EM35" s="58"/>
      <c r="EN35" s="58"/>
    </row>
    <row r="36" spans="16:144" x14ac:dyDescent="0.3">
      <c r="P36" s="4"/>
      <c r="Q36" s="4"/>
      <c r="R36" s="4"/>
      <c r="S36" s="4"/>
      <c r="DX36" s="58"/>
      <c r="DY36" s="58"/>
      <c r="DZ36" s="58"/>
      <c r="EA36" s="58"/>
      <c r="EB36" s="58"/>
      <c r="EC36" s="58"/>
      <c r="ED36" s="58"/>
      <c r="EE36" s="58"/>
      <c r="EF36" s="58"/>
      <c r="EG36" s="58"/>
      <c r="EH36" s="58"/>
      <c r="EI36" s="58"/>
      <c r="EJ36" s="58"/>
      <c r="EK36" s="58"/>
      <c r="EL36" s="58"/>
      <c r="EM36" s="58"/>
      <c r="EN36" s="58"/>
    </row>
    <row r="37" spans="16:144" x14ac:dyDescent="0.3">
      <c r="P37" s="4"/>
      <c r="Q37" s="4"/>
      <c r="R37" s="4"/>
      <c r="S37" s="4"/>
      <c r="DX37" s="58"/>
      <c r="DY37" s="58"/>
      <c r="DZ37" s="58"/>
      <c r="EA37" s="58"/>
      <c r="EB37" s="58"/>
      <c r="EC37" s="58"/>
      <c r="ED37" s="58"/>
      <c r="EE37" s="58"/>
      <c r="EF37" s="58"/>
      <c r="EG37" s="58"/>
      <c r="EH37" s="58"/>
      <c r="EI37" s="58"/>
      <c r="EJ37" s="58"/>
      <c r="EK37" s="58"/>
      <c r="EL37" s="58"/>
      <c r="EM37" s="58"/>
      <c r="EN37" s="58"/>
    </row>
    <row r="38" spans="16:144" x14ac:dyDescent="0.3">
      <c r="P38" s="4"/>
      <c r="Q38" s="4"/>
      <c r="R38" s="4"/>
      <c r="S38" s="4"/>
      <c r="DX38" s="58"/>
      <c r="DY38" s="58"/>
      <c r="DZ38" s="58"/>
      <c r="EA38" s="58"/>
      <c r="EB38" s="58"/>
      <c r="EC38" s="58"/>
      <c r="ED38" s="58"/>
      <c r="EE38" s="58"/>
      <c r="EF38" s="58"/>
      <c r="EG38" s="58"/>
      <c r="EH38" s="58"/>
      <c r="EI38" s="58"/>
      <c r="EJ38" s="58"/>
      <c r="EK38" s="58"/>
      <c r="EL38" s="58"/>
      <c r="EM38" s="58"/>
      <c r="EN38" s="58"/>
    </row>
    <row r="39" spans="16:144" x14ac:dyDescent="0.3">
      <c r="P39" s="4"/>
      <c r="Q39" s="4"/>
      <c r="R39" s="4"/>
      <c r="S39" s="4"/>
      <c r="DX39" s="58"/>
      <c r="DY39" s="58"/>
      <c r="DZ39" s="58"/>
      <c r="EA39" s="58"/>
      <c r="EB39" s="58"/>
      <c r="EC39" s="58"/>
      <c r="ED39" s="58"/>
      <c r="EE39" s="58"/>
      <c r="EF39" s="58"/>
      <c r="EG39" s="58"/>
      <c r="EH39" s="58"/>
      <c r="EI39" s="58"/>
      <c r="EJ39" s="58"/>
      <c r="EK39" s="58"/>
      <c r="EL39" s="58"/>
      <c r="EM39" s="58"/>
      <c r="EN39" s="58"/>
    </row>
    <row r="40" spans="16:144" x14ac:dyDescent="0.3">
      <c r="P40" s="4"/>
      <c r="Q40" s="4"/>
      <c r="R40" s="4"/>
      <c r="S40" s="4"/>
      <c r="DX40" s="58"/>
      <c r="DY40" s="58"/>
      <c r="DZ40" s="58"/>
      <c r="EA40" s="58"/>
      <c r="EB40" s="58"/>
      <c r="EC40" s="58"/>
      <c r="ED40" s="58"/>
      <c r="EE40" s="58"/>
      <c r="EF40" s="58"/>
      <c r="EG40" s="58"/>
      <c r="EH40" s="58"/>
      <c r="EI40" s="58"/>
      <c r="EJ40" s="58"/>
      <c r="EK40" s="58"/>
      <c r="EL40" s="58"/>
      <c r="EM40" s="58"/>
      <c r="EN40" s="58"/>
    </row>
    <row r="41" spans="16:144" x14ac:dyDescent="0.3">
      <c r="P41" s="4"/>
      <c r="Q41" s="4"/>
      <c r="R41" s="4"/>
      <c r="S41" s="4"/>
      <c r="DX41" s="58"/>
      <c r="DY41" s="58"/>
      <c r="DZ41" s="58"/>
      <c r="EA41" s="58"/>
      <c r="EB41" s="58"/>
      <c r="EC41" s="58"/>
      <c r="ED41" s="58"/>
      <c r="EE41" s="58"/>
      <c r="EF41" s="58"/>
      <c r="EG41" s="58"/>
      <c r="EH41" s="58"/>
      <c r="EI41" s="58"/>
      <c r="EJ41" s="58"/>
      <c r="EK41" s="58"/>
      <c r="EL41" s="58"/>
      <c r="EM41" s="58"/>
      <c r="EN41" s="58"/>
    </row>
    <row r="42" spans="16:144" x14ac:dyDescent="0.3">
      <c r="P42" s="4"/>
      <c r="Q42" s="4"/>
      <c r="R42" s="4"/>
      <c r="S42" s="4"/>
      <c r="DX42" s="58"/>
      <c r="DY42" s="58"/>
      <c r="DZ42" s="58"/>
      <c r="EA42" s="58"/>
      <c r="EB42" s="58"/>
      <c r="EC42" s="58"/>
      <c r="ED42" s="58"/>
      <c r="EE42" s="58"/>
      <c r="EF42" s="58"/>
      <c r="EG42" s="58"/>
      <c r="EH42" s="58"/>
      <c r="EI42" s="58"/>
      <c r="EJ42" s="58"/>
      <c r="EK42" s="58"/>
      <c r="EL42" s="58"/>
      <c r="EM42" s="58"/>
      <c r="EN42" s="58"/>
    </row>
    <row r="43" spans="16:144" x14ac:dyDescent="0.3">
      <c r="P43" s="4"/>
      <c r="Q43" s="4"/>
      <c r="R43" s="4"/>
      <c r="S43" s="4"/>
      <c r="DX43" s="58"/>
      <c r="DY43" s="58"/>
      <c r="DZ43" s="58"/>
      <c r="EA43" s="58"/>
      <c r="EB43" s="58"/>
      <c r="EC43" s="58"/>
      <c r="ED43" s="58"/>
      <c r="EE43" s="58"/>
      <c r="EF43" s="58"/>
      <c r="EG43" s="58"/>
      <c r="EH43" s="58"/>
      <c r="EI43" s="58"/>
      <c r="EJ43" s="58"/>
      <c r="EK43" s="58"/>
      <c r="EL43" s="58"/>
      <c r="EM43" s="58"/>
      <c r="EN43" s="58"/>
    </row>
    <row r="44" spans="16:144" x14ac:dyDescent="0.3">
      <c r="P44" s="4"/>
      <c r="Q44" s="4"/>
      <c r="R44" s="4"/>
      <c r="S44" s="4"/>
      <c r="DX44" s="58"/>
      <c r="DY44" s="58"/>
      <c r="DZ44" s="58"/>
      <c r="EA44" s="58"/>
      <c r="EB44" s="58"/>
      <c r="EC44" s="58"/>
      <c r="ED44" s="58"/>
      <c r="EE44" s="58"/>
      <c r="EF44" s="58"/>
      <c r="EG44" s="58"/>
      <c r="EH44" s="58"/>
      <c r="EI44" s="58"/>
      <c r="EJ44" s="58"/>
      <c r="EK44" s="58"/>
      <c r="EL44" s="58"/>
      <c r="EM44" s="58"/>
      <c r="EN44" s="58"/>
    </row>
    <row r="45" spans="16:144" x14ac:dyDescent="0.3">
      <c r="P45" s="4"/>
      <c r="Q45" s="4"/>
      <c r="R45" s="4"/>
      <c r="S45" s="4"/>
      <c r="DX45" s="58"/>
      <c r="DY45" s="58"/>
      <c r="DZ45" s="58"/>
      <c r="EA45" s="58"/>
      <c r="EB45" s="58"/>
      <c r="EC45" s="58"/>
      <c r="ED45" s="58"/>
      <c r="EE45" s="58"/>
      <c r="EF45" s="58"/>
      <c r="EG45" s="58"/>
      <c r="EH45" s="58"/>
      <c r="EI45" s="58"/>
      <c r="EJ45" s="58"/>
      <c r="EK45" s="58"/>
      <c r="EL45" s="58"/>
      <c r="EM45" s="58"/>
      <c r="EN45" s="58"/>
    </row>
    <row r="46" spans="16:144" x14ac:dyDescent="0.3">
      <c r="P46" s="4"/>
      <c r="Q46" s="4"/>
      <c r="R46" s="4"/>
      <c r="S46" s="4"/>
      <c r="DX46" s="58"/>
      <c r="DY46" s="58"/>
      <c r="DZ46" s="58"/>
      <c r="EA46" s="58"/>
      <c r="EB46" s="58"/>
      <c r="EC46" s="58"/>
      <c r="ED46" s="58"/>
      <c r="EE46" s="58"/>
      <c r="EF46" s="58"/>
      <c r="EG46" s="58"/>
      <c r="EH46" s="58"/>
      <c r="EI46" s="58"/>
      <c r="EJ46" s="58"/>
      <c r="EK46" s="58"/>
      <c r="EL46" s="58"/>
      <c r="EM46" s="58"/>
      <c r="EN46" s="58"/>
    </row>
    <row r="47" spans="16:144" x14ac:dyDescent="0.3">
      <c r="P47" s="4"/>
      <c r="Q47" s="4"/>
      <c r="R47" s="4"/>
      <c r="S47" s="4"/>
      <c r="DX47" s="58"/>
      <c r="DY47" s="58"/>
      <c r="DZ47" s="58"/>
      <c r="EA47" s="58"/>
      <c r="EB47" s="58"/>
      <c r="EC47" s="58"/>
      <c r="ED47" s="58"/>
      <c r="EE47" s="58"/>
      <c r="EF47" s="58"/>
      <c r="EG47" s="58"/>
      <c r="EH47" s="58"/>
      <c r="EI47" s="58"/>
      <c r="EJ47" s="58"/>
      <c r="EK47" s="58"/>
      <c r="EL47" s="58"/>
      <c r="EM47" s="58"/>
      <c r="EN47" s="58"/>
    </row>
    <row r="48" spans="16:144" x14ac:dyDescent="0.3">
      <c r="P48" s="4"/>
      <c r="Q48" s="4"/>
      <c r="R48" s="4"/>
      <c r="S48" s="4"/>
      <c r="DX48" s="58"/>
      <c r="DY48" s="58"/>
      <c r="DZ48" s="58"/>
      <c r="EA48" s="58"/>
      <c r="EB48" s="58"/>
      <c r="EC48" s="58"/>
      <c r="ED48" s="58"/>
      <c r="EE48" s="58"/>
      <c r="EF48" s="58"/>
      <c r="EG48" s="58"/>
      <c r="EH48" s="58"/>
      <c r="EI48" s="58"/>
      <c r="EJ48" s="58"/>
      <c r="EK48" s="58"/>
      <c r="EL48" s="58"/>
      <c r="EM48" s="58"/>
      <c r="EN48" s="58"/>
    </row>
    <row r="49" spans="1:144" x14ac:dyDescent="0.3">
      <c r="A49" s="4"/>
      <c r="B49" s="5"/>
      <c r="C49" s="5"/>
      <c r="D49" s="6"/>
      <c r="E49" s="4"/>
      <c r="F49" s="4"/>
      <c r="G49" s="4"/>
      <c r="H49" s="4"/>
      <c r="I49" s="4"/>
      <c r="J49" s="4"/>
      <c r="K49" s="4"/>
      <c r="L49" s="4"/>
      <c r="M49" s="4"/>
      <c r="N49" s="4"/>
      <c r="O49" s="4"/>
      <c r="P49" s="4"/>
      <c r="Q49" s="4"/>
      <c r="R49" s="4"/>
      <c r="S49" s="4"/>
      <c r="DX49" s="58"/>
      <c r="DY49" s="58"/>
      <c r="DZ49" s="58"/>
      <c r="EA49" s="58"/>
      <c r="EB49" s="58"/>
      <c r="EC49" s="58"/>
      <c r="ED49" s="58"/>
      <c r="EE49" s="58"/>
      <c r="EF49" s="58"/>
      <c r="EG49" s="58"/>
      <c r="EH49" s="58"/>
      <c r="EI49" s="58"/>
      <c r="EJ49" s="58"/>
      <c r="EK49" s="58"/>
      <c r="EL49" s="58"/>
      <c r="EM49" s="58"/>
      <c r="EN49" s="58"/>
    </row>
    <row r="50" spans="1:144" x14ac:dyDescent="0.3">
      <c r="A50" s="4"/>
      <c r="B50" s="5"/>
      <c r="C50" s="5"/>
      <c r="D50" s="6"/>
      <c r="E50" s="4"/>
      <c r="F50" s="123"/>
      <c r="G50" s="123"/>
      <c r="H50" s="123"/>
      <c r="I50" s="123"/>
      <c r="J50" s="123"/>
      <c r="K50" s="123"/>
      <c r="L50" s="123"/>
      <c r="M50" s="123"/>
      <c r="N50" s="123"/>
      <c r="O50" s="4"/>
      <c r="P50" s="4"/>
      <c r="Q50" s="4"/>
      <c r="R50" s="4"/>
      <c r="S50" s="4"/>
      <c r="DX50" s="58"/>
      <c r="DY50" s="58"/>
      <c r="DZ50" s="58"/>
      <c r="EA50" s="58"/>
      <c r="EB50" s="58"/>
      <c r="EC50" s="58"/>
      <c r="ED50" s="58"/>
      <c r="EE50" s="58"/>
      <c r="EF50" s="58"/>
      <c r="EG50" s="58"/>
      <c r="EH50" s="58"/>
      <c r="EI50" s="58"/>
      <c r="EJ50" s="58"/>
      <c r="EK50" s="58"/>
      <c r="EL50" s="58"/>
      <c r="EM50" s="58"/>
      <c r="EN50" s="58"/>
    </row>
    <row r="51" spans="1:144" x14ac:dyDescent="0.3">
      <c r="A51" s="4"/>
      <c r="B51" s="5"/>
      <c r="C51" s="5"/>
      <c r="D51" s="6"/>
      <c r="E51" s="4"/>
      <c r="F51" s="123"/>
      <c r="G51" s="123"/>
      <c r="H51" s="123"/>
      <c r="I51" s="123"/>
      <c r="J51" s="123"/>
      <c r="K51" s="123"/>
      <c r="L51" s="123"/>
      <c r="M51" s="123"/>
      <c r="N51" s="123"/>
      <c r="O51" s="4"/>
      <c r="P51" s="4"/>
      <c r="Q51" s="4"/>
      <c r="R51" s="4"/>
      <c r="S51" s="4"/>
      <c r="DX51" s="58"/>
      <c r="DY51" s="58"/>
      <c r="DZ51" s="58"/>
      <c r="EA51" s="58"/>
      <c r="EB51" s="58"/>
      <c r="EC51" s="58"/>
      <c r="ED51" s="58"/>
      <c r="EE51" s="58"/>
      <c r="EF51" s="58"/>
      <c r="EG51" s="58"/>
      <c r="EH51" s="58"/>
      <c r="EI51" s="58"/>
      <c r="EJ51" s="58"/>
      <c r="EK51" s="58"/>
      <c r="EL51" s="58"/>
      <c r="EM51" s="58"/>
      <c r="EN51" s="58"/>
    </row>
    <row r="52" spans="1:144" x14ac:dyDescent="0.3">
      <c r="A52" s="4"/>
      <c r="B52" s="5"/>
      <c r="C52" s="5"/>
      <c r="D52" s="6"/>
      <c r="E52" s="4"/>
      <c r="F52" s="123"/>
      <c r="G52" s="123"/>
      <c r="H52" s="123"/>
      <c r="I52" s="123"/>
      <c r="J52" s="123"/>
      <c r="K52" s="123"/>
      <c r="L52" s="123"/>
      <c r="M52" s="123"/>
      <c r="N52" s="123"/>
      <c r="O52" s="4"/>
      <c r="P52" s="4"/>
      <c r="Q52" s="4"/>
      <c r="R52" s="4"/>
      <c r="S52" s="4"/>
      <c r="DX52" s="58"/>
      <c r="DY52" s="58"/>
      <c r="DZ52" s="58"/>
      <c r="EA52" s="58"/>
      <c r="EB52" s="58"/>
      <c r="EC52" s="58"/>
      <c r="ED52" s="58"/>
      <c r="EE52" s="58"/>
      <c r="EF52" s="58"/>
      <c r="EG52" s="58"/>
      <c r="EH52" s="58"/>
      <c r="EI52" s="58"/>
      <c r="EJ52" s="58"/>
      <c r="EK52" s="58"/>
      <c r="EL52" s="58"/>
      <c r="EM52" s="58"/>
      <c r="EN52" s="58"/>
    </row>
    <row r="53" spans="1:144" x14ac:dyDescent="0.3">
      <c r="A53" s="4"/>
      <c r="B53" s="5"/>
      <c r="C53" s="5"/>
      <c r="D53" s="6"/>
      <c r="E53" s="4"/>
      <c r="F53" s="4"/>
      <c r="G53" s="4"/>
      <c r="H53" s="4"/>
      <c r="I53" s="4"/>
      <c r="J53" s="4"/>
      <c r="K53" s="4"/>
      <c r="L53" s="4"/>
      <c r="M53" s="4"/>
      <c r="N53" s="4"/>
      <c r="O53" s="4"/>
      <c r="P53" s="4"/>
      <c r="Q53" s="4"/>
      <c r="R53" s="4"/>
      <c r="S53" s="4"/>
    </row>
  </sheetData>
  <sheetProtection sheet="1" objects="1" scenarios="1" selectLockedCells="1"/>
  <mergeCells count="52">
    <mergeCell ref="T3:W3"/>
    <mergeCell ref="BD3:BF3"/>
    <mergeCell ref="CN3:CQ3"/>
    <mergeCell ref="DF3:DI3"/>
    <mergeCell ref="DX3:EH3"/>
    <mergeCell ref="EK4:EN4"/>
    <mergeCell ref="F5:N7"/>
    <mergeCell ref="X5:AF7"/>
    <mergeCell ref="AP5:AX7"/>
    <mergeCell ref="BH5:BP7"/>
    <mergeCell ref="BZ5:CH7"/>
    <mergeCell ref="CR5:CZ7"/>
    <mergeCell ref="DJ5:DR7"/>
    <mergeCell ref="DX4:DY4"/>
    <mergeCell ref="DZ4:EH4"/>
    <mergeCell ref="AT9:AW9"/>
    <mergeCell ref="F11:G11"/>
    <mergeCell ref="J11:M11"/>
    <mergeCell ref="X11:Y11"/>
    <mergeCell ref="AB11:AE11"/>
    <mergeCell ref="AP11:AQ11"/>
    <mergeCell ref="AT11:AW11"/>
    <mergeCell ref="DJ11:DK11"/>
    <mergeCell ref="DN11:DQ11"/>
    <mergeCell ref="J13:M13"/>
    <mergeCell ref="AB13:AE13"/>
    <mergeCell ref="AT13:AW13"/>
    <mergeCell ref="BL13:BO13"/>
    <mergeCell ref="CD13:CG13"/>
    <mergeCell ref="CV13:CY13"/>
    <mergeCell ref="DN13:DQ13"/>
    <mergeCell ref="BH11:BI11"/>
    <mergeCell ref="BL11:BO11"/>
    <mergeCell ref="BZ11:CA11"/>
    <mergeCell ref="CD11:CG11"/>
    <mergeCell ref="CR11:CS11"/>
    <mergeCell ref="CV11:CY11"/>
    <mergeCell ref="F23:N25"/>
    <mergeCell ref="F50:N52"/>
    <mergeCell ref="DN15:DQ15"/>
    <mergeCell ref="J17:M17"/>
    <mergeCell ref="AB17:AE17"/>
    <mergeCell ref="AT17:AW17"/>
    <mergeCell ref="BL17:BO17"/>
    <mergeCell ref="CD17:CG17"/>
    <mergeCell ref="CV17:CY17"/>
    <mergeCell ref="J15:M15"/>
    <mergeCell ref="AB15:AE15"/>
    <mergeCell ref="AT15:AW15"/>
    <mergeCell ref="BL15:BO15"/>
    <mergeCell ref="CD15:CG15"/>
    <mergeCell ref="CV15:CY15"/>
  </mergeCells>
  <conditionalFormatting sqref="EM5:EM21">
    <cfRule type="top10" dxfId="31" priority="1" rank="3"/>
  </conditionalFormatting>
  <printOptions verticalCentered="1"/>
  <pageMargins left="0.74803149606299213" right="0.74803149606299213" top="1.1811023622047245" bottom="0.98425196850393704" header="0.51181102362204722" footer="0.51181102362204722"/>
  <pageSetup paperSize="9" scale="10" orientation="portrait" horizontalDpi="4294967294" verticalDpi="0" r:id="rId1"/>
  <headerFooter alignWithMargins="0">
    <oddHeader>&amp;C&amp;24&amp;K03+000
Results Belbintest&amp;R&amp;G</oddHeader>
    <oddFooter>&amp;R&amp;K03+000Printing date &amp;D</oddFooter>
  </headerFooter>
  <colBreaks count="13" manualBreakCount="13">
    <brk id="5" max="1048575" man="1"/>
    <brk id="18" max="1048575" man="1"/>
    <brk id="23" max="1048575" man="1"/>
    <brk id="41" max="1048575" man="1"/>
    <brk id="54" max="1048575" man="1"/>
    <brk id="59" max="1048575" man="1"/>
    <brk id="77" max="1048575" man="1"/>
    <brk id="90" max="1048575" man="1"/>
    <brk id="95" max="1048575" man="1"/>
    <brk id="108" max="1048575" man="1"/>
    <brk id="113" max="1048575" man="1"/>
    <brk id="126" max="1048575" man="1"/>
    <brk id="144" max="1048575" man="1"/>
  </colBreaks>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9">
    <pageSetUpPr fitToPage="1"/>
  </sheetPr>
  <dimension ref="A1:GL53"/>
  <sheetViews>
    <sheetView tabSelected="1" topLeftCell="DT99" zoomScale="77" zoomScaleNormal="85" workbookViewId="0">
      <selection activeCell="AN21" sqref="AN21"/>
    </sheetView>
  </sheetViews>
  <sheetFormatPr defaultColWidth="9.109375" defaultRowHeight="17.399999999999999" x14ac:dyDescent="0.25"/>
  <cols>
    <col min="1" max="1" width="8.6640625" style="3" customWidth="1"/>
    <col min="2" max="2" width="59.33203125" style="1" bestFit="1" customWidth="1"/>
    <col min="3" max="3" width="2.33203125" style="1" customWidth="1"/>
    <col min="4" max="4" width="9.109375" style="2"/>
    <col min="5" max="18" width="9.109375" style="3"/>
    <col min="19" max="19" width="8.6640625" style="3" customWidth="1"/>
    <col min="20" max="20" width="59.33203125" style="3" customWidth="1"/>
    <col min="21" max="21" width="2.33203125" style="3" customWidth="1"/>
    <col min="22" max="35" width="9.109375" style="3"/>
    <col min="36" max="36" width="9.109375" style="3" customWidth="1"/>
    <col min="37" max="37" width="8.6640625" style="3" customWidth="1"/>
    <col min="38" max="38" width="59.33203125" style="3" customWidth="1"/>
    <col min="39" max="39" width="2.33203125" style="3" customWidth="1"/>
    <col min="40" max="53" width="9.109375" style="3"/>
    <col min="54" max="54" width="9.109375" style="3" customWidth="1"/>
    <col min="55" max="55" width="8.6640625" style="3" customWidth="1"/>
    <col min="56" max="56" width="59.33203125" style="3" customWidth="1"/>
    <col min="57" max="57" width="2.33203125" style="3" customWidth="1"/>
    <col min="58" max="71" width="9.109375" style="3"/>
    <col min="72" max="72" width="9.109375" style="3" customWidth="1"/>
    <col min="73" max="73" width="8.6640625" style="3" customWidth="1"/>
    <col min="74" max="74" width="59.33203125" style="3" customWidth="1"/>
    <col min="75" max="75" width="2.33203125" style="3" customWidth="1"/>
    <col min="76" max="89" width="9.109375" style="3"/>
    <col min="90" max="90" width="9.109375" style="3" customWidth="1"/>
    <col min="91" max="91" width="8.6640625" style="3" customWidth="1"/>
    <col min="92" max="92" width="59.33203125" style="3" customWidth="1"/>
    <col min="93" max="93" width="2.33203125" style="3" customWidth="1"/>
    <col min="94" max="107" width="9.109375" style="3"/>
    <col min="108" max="108" width="9.109375" style="3" customWidth="1"/>
    <col min="109" max="109" width="8.6640625" style="3" customWidth="1"/>
    <col min="110" max="110" width="59.33203125" style="3" customWidth="1"/>
    <col min="111" max="111" width="2.33203125" style="3" customWidth="1"/>
    <col min="112" max="127" width="9.109375" style="3"/>
    <col min="128" max="128" width="9.109375" style="3" customWidth="1"/>
    <col min="129" max="129" width="3.33203125" style="3" customWidth="1"/>
    <col min="130" max="138" width="4.77734375" style="3" customWidth="1"/>
    <col min="139" max="141" width="9.109375" style="3"/>
    <col min="142" max="142" width="14.6640625" style="3" customWidth="1"/>
    <col min="143" max="143" width="9.109375" style="3"/>
    <col min="144" max="144" width="6.6640625" style="3" customWidth="1"/>
    <col min="145" max="150" width="9.109375" style="3"/>
    <col min="151" max="151" width="2.33203125" style="3" customWidth="1"/>
    <col min="152" max="152" width="2.88671875" style="3" customWidth="1"/>
    <col min="153" max="257" width="9.109375" style="3"/>
    <col min="258" max="258" width="3" style="3" customWidth="1"/>
    <col min="259" max="259" width="59.33203125" style="3" bestFit="1" customWidth="1"/>
    <col min="260" max="260" width="2.33203125" style="3" customWidth="1"/>
    <col min="261" max="513" width="9.109375" style="3"/>
    <col min="514" max="514" width="3" style="3" customWidth="1"/>
    <col min="515" max="515" width="59.33203125" style="3" bestFit="1" customWidth="1"/>
    <col min="516" max="516" width="2.33203125" style="3" customWidth="1"/>
    <col min="517" max="769" width="9.109375" style="3"/>
    <col min="770" max="770" width="3" style="3" customWidth="1"/>
    <col min="771" max="771" width="59.33203125" style="3" bestFit="1" customWidth="1"/>
    <col min="772" max="772" width="2.33203125" style="3" customWidth="1"/>
    <col min="773" max="1025" width="9.109375" style="3"/>
    <col min="1026" max="1026" width="3" style="3" customWidth="1"/>
    <col min="1027" max="1027" width="59.33203125" style="3" bestFit="1" customWidth="1"/>
    <col min="1028" max="1028" width="2.33203125" style="3" customWidth="1"/>
    <col min="1029" max="1281" width="9.109375" style="3"/>
    <col min="1282" max="1282" width="3" style="3" customWidth="1"/>
    <col min="1283" max="1283" width="59.33203125" style="3" bestFit="1" customWidth="1"/>
    <col min="1284" max="1284" width="2.33203125" style="3" customWidth="1"/>
    <col min="1285" max="1537" width="9.109375" style="3"/>
    <col min="1538" max="1538" width="3" style="3" customWidth="1"/>
    <col min="1539" max="1539" width="59.33203125" style="3" bestFit="1" customWidth="1"/>
    <col min="1540" max="1540" width="2.33203125" style="3" customWidth="1"/>
    <col min="1541" max="1793" width="9.109375" style="3"/>
    <col min="1794" max="1794" width="3" style="3" customWidth="1"/>
    <col min="1795" max="1795" width="59.33203125" style="3" bestFit="1" customWidth="1"/>
    <col min="1796" max="1796" width="2.33203125" style="3" customWidth="1"/>
    <col min="1797" max="2049" width="9.109375" style="3"/>
    <col min="2050" max="2050" width="3" style="3" customWidth="1"/>
    <col min="2051" max="2051" width="59.33203125" style="3" bestFit="1" customWidth="1"/>
    <col min="2052" max="2052" width="2.33203125" style="3" customWidth="1"/>
    <col min="2053" max="2305" width="9.109375" style="3"/>
    <col min="2306" max="2306" width="3" style="3" customWidth="1"/>
    <col min="2307" max="2307" width="59.33203125" style="3" bestFit="1" customWidth="1"/>
    <col min="2308" max="2308" width="2.33203125" style="3" customWidth="1"/>
    <col min="2309" max="2561" width="9.109375" style="3"/>
    <col min="2562" max="2562" width="3" style="3" customWidth="1"/>
    <col min="2563" max="2563" width="59.33203125" style="3" bestFit="1" customWidth="1"/>
    <col min="2564" max="2564" width="2.33203125" style="3" customWidth="1"/>
    <col min="2565" max="2817" width="9.109375" style="3"/>
    <col min="2818" max="2818" width="3" style="3" customWidth="1"/>
    <col min="2819" max="2819" width="59.33203125" style="3" bestFit="1" customWidth="1"/>
    <col min="2820" max="2820" width="2.33203125" style="3" customWidth="1"/>
    <col min="2821" max="3073" width="9.109375" style="3"/>
    <col min="3074" max="3074" width="3" style="3" customWidth="1"/>
    <col min="3075" max="3075" width="59.33203125" style="3" bestFit="1" customWidth="1"/>
    <col min="3076" max="3076" width="2.33203125" style="3" customWidth="1"/>
    <col min="3077" max="3329" width="9.109375" style="3"/>
    <col min="3330" max="3330" width="3" style="3" customWidth="1"/>
    <col min="3331" max="3331" width="59.33203125" style="3" bestFit="1" customWidth="1"/>
    <col min="3332" max="3332" width="2.33203125" style="3" customWidth="1"/>
    <col min="3333" max="3585" width="9.109375" style="3"/>
    <col min="3586" max="3586" width="3" style="3" customWidth="1"/>
    <col min="3587" max="3587" width="59.33203125" style="3" bestFit="1" customWidth="1"/>
    <col min="3588" max="3588" width="2.33203125" style="3" customWidth="1"/>
    <col min="3589" max="3841" width="9.109375" style="3"/>
    <col min="3842" max="3842" width="3" style="3" customWidth="1"/>
    <col min="3843" max="3843" width="59.33203125" style="3" bestFit="1" customWidth="1"/>
    <col min="3844" max="3844" width="2.33203125" style="3" customWidth="1"/>
    <col min="3845" max="4097" width="9.109375" style="3"/>
    <col min="4098" max="4098" width="3" style="3" customWidth="1"/>
    <col min="4099" max="4099" width="59.33203125" style="3" bestFit="1" customWidth="1"/>
    <col min="4100" max="4100" width="2.33203125" style="3" customWidth="1"/>
    <col min="4101" max="4353" width="9.109375" style="3"/>
    <col min="4354" max="4354" width="3" style="3" customWidth="1"/>
    <col min="4355" max="4355" width="59.33203125" style="3" bestFit="1" customWidth="1"/>
    <col min="4356" max="4356" width="2.33203125" style="3" customWidth="1"/>
    <col min="4357" max="4609" width="9.109375" style="3"/>
    <col min="4610" max="4610" width="3" style="3" customWidth="1"/>
    <col min="4611" max="4611" width="59.33203125" style="3" bestFit="1" customWidth="1"/>
    <col min="4612" max="4612" width="2.33203125" style="3" customWidth="1"/>
    <col min="4613" max="4865" width="9.109375" style="3"/>
    <col min="4866" max="4866" width="3" style="3" customWidth="1"/>
    <col min="4867" max="4867" width="59.33203125" style="3" bestFit="1" customWidth="1"/>
    <col min="4868" max="4868" width="2.33203125" style="3" customWidth="1"/>
    <col min="4869" max="5121" width="9.109375" style="3"/>
    <col min="5122" max="5122" width="3" style="3" customWidth="1"/>
    <col min="5123" max="5123" width="59.33203125" style="3" bestFit="1" customWidth="1"/>
    <col min="5124" max="5124" width="2.33203125" style="3" customWidth="1"/>
    <col min="5125" max="5377" width="9.109375" style="3"/>
    <col min="5378" max="5378" width="3" style="3" customWidth="1"/>
    <col min="5379" max="5379" width="59.33203125" style="3" bestFit="1" customWidth="1"/>
    <col min="5380" max="5380" width="2.33203125" style="3" customWidth="1"/>
    <col min="5381" max="5633" width="9.109375" style="3"/>
    <col min="5634" max="5634" width="3" style="3" customWidth="1"/>
    <col min="5635" max="5635" width="59.33203125" style="3" bestFit="1" customWidth="1"/>
    <col min="5636" max="5636" width="2.33203125" style="3" customWidth="1"/>
    <col min="5637" max="5889" width="9.109375" style="3"/>
    <col min="5890" max="5890" width="3" style="3" customWidth="1"/>
    <col min="5891" max="5891" width="59.33203125" style="3" bestFit="1" customWidth="1"/>
    <col min="5892" max="5892" width="2.33203125" style="3" customWidth="1"/>
    <col min="5893" max="6145" width="9.109375" style="3"/>
    <col min="6146" max="6146" width="3" style="3" customWidth="1"/>
    <col min="6147" max="6147" width="59.33203125" style="3" bestFit="1" customWidth="1"/>
    <col min="6148" max="6148" width="2.33203125" style="3" customWidth="1"/>
    <col min="6149" max="6401" width="9.109375" style="3"/>
    <col min="6402" max="6402" width="3" style="3" customWidth="1"/>
    <col min="6403" max="6403" width="59.33203125" style="3" bestFit="1" customWidth="1"/>
    <col min="6404" max="6404" width="2.33203125" style="3" customWidth="1"/>
    <col min="6405" max="6657" width="9.109375" style="3"/>
    <col min="6658" max="6658" width="3" style="3" customWidth="1"/>
    <col min="6659" max="6659" width="59.33203125" style="3" bestFit="1" customWidth="1"/>
    <col min="6660" max="6660" width="2.33203125" style="3" customWidth="1"/>
    <col min="6661" max="6913" width="9.109375" style="3"/>
    <col min="6914" max="6914" width="3" style="3" customWidth="1"/>
    <col min="6915" max="6915" width="59.33203125" style="3" bestFit="1" customWidth="1"/>
    <col min="6916" max="6916" width="2.33203125" style="3" customWidth="1"/>
    <col min="6917" max="7169" width="9.109375" style="3"/>
    <col min="7170" max="7170" width="3" style="3" customWidth="1"/>
    <col min="7171" max="7171" width="59.33203125" style="3" bestFit="1" customWidth="1"/>
    <col min="7172" max="7172" width="2.33203125" style="3" customWidth="1"/>
    <col min="7173" max="7425" width="9.109375" style="3"/>
    <col min="7426" max="7426" width="3" style="3" customWidth="1"/>
    <col min="7427" max="7427" width="59.33203125" style="3" bestFit="1" customWidth="1"/>
    <col min="7428" max="7428" width="2.33203125" style="3" customWidth="1"/>
    <col min="7429" max="7681" width="9.109375" style="3"/>
    <col min="7682" max="7682" width="3" style="3" customWidth="1"/>
    <col min="7683" max="7683" width="59.33203125" style="3" bestFit="1" customWidth="1"/>
    <col min="7684" max="7684" width="2.33203125" style="3" customWidth="1"/>
    <col min="7685" max="7937" width="9.109375" style="3"/>
    <col min="7938" max="7938" width="3" style="3" customWidth="1"/>
    <col min="7939" max="7939" width="59.33203125" style="3" bestFit="1" customWidth="1"/>
    <col min="7940" max="7940" width="2.33203125" style="3" customWidth="1"/>
    <col min="7941" max="8193" width="9.109375" style="3"/>
    <col min="8194" max="8194" width="3" style="3" customWidth="1"/>
    <col min="8195" max="8195" width="59.33203125" style="3" bestFit="1" customWidth="1"/>
    <col min="8196" max="8196" width="2.33203125" style="3" customWidth="1"/>
    <col min="8197" max="8449" width="9.109375" style="3"/>
    <col min="8450" max="8450" width="3" style="3" customWidth="1"/>
    <col min="8451" max="8451" width="59.33203125" style="3" bestFit="1" customWidth="1"/>
    <col min="8452" max="8452" width="2.33203125" style="3" customWidth="1"/>
    <col min="8453" max="8705" width="9.109375" style="3"/>
    <col min="8706" max="8706" width="3" style="3" customWidth="1"/>
    <col min="8707" max="8707" width="59.33203125" style="3" bestFit="1" customWidth="1"/>
    <col min="8708" max="8708" width="2.33203125" style="3" customWidth="1"/>
    <col min="8709" max="8961" width="9.109375" style="3"/>
    <col min="8962" max="8962" width="3" style="3" customWidth="1"/>
    <col min="8963" max="8963" width="59.33203125" style="3" bestFit="1" customWidth="1"/>
    <col min="8964" max="8964" width="2.33203125" style="3" customWidth="1"/>
    <col min="8965" max="9217" width="9.109375" style="3"/>
    <col min="9218" max="9218" width="3" style="3" customWidth="1"/>
    <col min="9219" max="9219" width="59.33203125" style="3" bestFit="1" customWidth="1"/>
    <col min="9220" max="9220" width="2.33203125" style="3" customWidth="1"/>
    <col min="9221" max="9473" width="9.109375" style="3"/>
    <col min="9474" max="9474" width="3" style="3" customWidth="1"/>
    <col min="9475" max="9475" width="59.33203125" style="3" bestFit="1" customWidth="1"/>
    <col min="9476" max="9476" width="2.33203125" style="3" customWidth="1"/>
    <col min="9477" max="9729" width="9.109375" style="3"/>
    <col min="9730" max="9730" width="3" style="3" customWidth="1"/>
    <col min="9731" max="9731" width="59.33203125" style="3" bestFit="1" customWidth="1"/>
    <col min="9732" max="9732" width="2.33203125" style="3" customWidth="1"/>
    <col min="9733" max="9985" width="9.109375" style="3"/>
    <col min="9986" max="9986" width="3" style="3" customWidth="1"/>
    <col min="9987" max="9987" width="59.33203125" style="3" bestFit="1" customWidth="1"/>
    <col min="9988" max="9988" width="2.33203125" style="3" customWidth="1"/>
    <col min="9989" max="10241" width="9.109375" style="3"/>
    <col min="10242" max="10242" width="3" style="3" customWidth="1"/>
    <col min="10243" max="10243" width="59.33203125" style="3" bestFit="1" customWidth="1"/>
    <col min="10244" max="10244" width="2.33203125" style="3" customWidth="1"/>
    <col min="10245" max="10497" width="9.109375" style="3"/>
    <col min="10498" max="10498" width="3" style="3" customWidth="1"/>
    <col min="10499" max="10499" width="59.33203125" style="3" bestFit="1" customWidth="1"/>
    <col min="10500" max="10500" width="2.33203125" style="3" customWidth="1"/>
    <col min="10501" max="10753" width="9.109375" style="3"/>
    <col min="10754" max="10754" width="3" style="3" customWidth="1"/>
    <col min="10755" max="10755" width="59.33203125" style="3" bestFit="1" customWidth="1"/>
    <col min="10756" max="10756" width="2.33203125" style="3" customWidth="1"/>
    <col min="10757" max="11009" width="9.109375" style="3"/>
    <col min="11010" max="11010" width="3" style="3" customWidth="1"/>
    <col min="11011" max="11011" width="59.33203125" style="3" bestFit="1" customWidth="1"/>
    <col min="11012" max="11012" width="2.33203125" style="3" customWidth="1"/>
    <col min="11013" max="11265" width="9.109375" style="3"/>
    <col min="11266" max="11266" width="3" style="3" customWidth="1"/>
    <col min="11267" max="11267" width="59.33203125" style="3" bestFit="1" customWidth="1"/>
    <col min="11268" max="11268" width="2.33203125" style="3" customWidth="1"/>
    <col min="11269" max="11521" width="9.109375" style="3"/>
    <col min="11522" max="11522" width="3" style="3" customWidth="1"/>
    <col min="11523" max="11523" width="59.33203125" style="3" bestFit="1" customWidth="1"/>
    <col min="11524" max="11524" width="2.33203125" style="3" customWidth="1"/>
    <col min="11525" max="11777" width="9.109375" style="3"/>
    <col min="11778" max="11778" width="3" style="3" customWidth="1"/>
    <col min="11779" max="11779" width="59.33203125" style="3" bestFit="1" customWidth="1"/>
    <col min="11780" max="11780" width="2.33203125" style="3" customWidth="1"/>
    <col min="11781" max="12033" width="9.109375" style="3"/>
    <col min="12034" max="12034" width="3" style="3" customWidth="1"/>
    <col min="12035" max="12035" width="59.33203125" style="3" bestFit="1" customWidth="1"/>
    <col min="12036" max="12036" width="2.33203125" style="3" customWidth="1"/>
    <col min="12037" max="12289" width="9.109375" style="3"/>
    <col min="12290" max="12290" width="3" style="3" customWidth="1"/>
    <col min="12291" max="12291" width="59.33203125" style="3" bestFit="1" customWidth="1"/>
    <col min="12292" max="12292" width="2.33203125" style="3" customWidth="1"/>
    <col min="12293" max="12545" width="9.109375" style="3"/>
    <col min="12546" max="12546" width="3" style="3" customWidth="1"/>
    <col min="12547" max="12547" width="59.33203125" style="3" bestFit="1" customWidth="1"/>
    <col min="12548" max="12548" width="2.33203125" style="3" customWidth="1"/>
    <col min="12549" max="12801" width="9.109375" style="3"/>
    <col min="12802" max="12802" width="3" style="3" customWidth="1"/>
    <col min="12803" max="12803" width="59.33203125" style="3" bestFit="1" customWidth="1"/>
    <col min="12804" max="12804" width="2.33203125" style="3" customWidth="1"/>
    <col min="12805" max="13057" width="9.109375" style="3"/>
    <col min="13058" max="13058" width="3" style="3" customWidth="1"/>
    <col min="13059" max="13059" width="59.33203125" style="3" bestFit="1" customWidth="1"/>
    <col min="13060" max="13060" width="2.33203125" style="3" customWidth="1"/>
    <col min="13061" max="13313" width="9.109375" style="3"/>
    <col min="13314" max="13314" width="3" style="3" customWidth="1"/>
    <col min="13315" max="13315" width="59.33203125" style="3" bestFit="1" customWidth="1"/>
    <col min="13316" max="13316" width="2.33203125" style="3" customWidth="1"/>
    <col min="13317" max="13569" width="9.109375" style="3"/>
    <col min="13570" max="13570" width="3" style="3" customWidth="1"/>
    <col min="13571" max="13571" width="59.33203125" style="3" bestFit="1" customWidth="1"/>
    <col min="13572" max="13572" width="2.33203125" style="3" customWidth="1"/>
    <col min="13573" max="13825" width="9.109375" style="3"/>
    <col min="13826" max="13826" width="3" style="3" customWidth="1"/>
    <col min="13827" max="13827" width="59.33203125" style="3" bestFit="1" customWidth="1"/>
    <col min="13828" max="13828" width="2.33203125" style="3" customWidth="1"/>
    <col min="13829" max="14081" width="9.109375" style="3"/>
    <col min="14082" max="14082" width="3" style="3" customWidth="1"/>
    <col min="14083" max="14083" width="59.33203125" style="3" bestFit="1" customWidth="1"/>
    <col min="14084" max="14084" width="2.33203125" style="3" customWidth="1"/>
    <col min="14085" max="14337" width="9.109375" style="3"/>
    <col min="14338" max="14338" width="3" style="3" customWidth="1"/>
    <col min="14339" max="14339" width="59.33203125" style="3" bestFit="1" customWidth="1"/>
    <col min="14340" max="14340" width="2.33203125" style="3" customWidth="1"/>
    <col min="14341" max="14593" width="9.109375" style="3"/>
    <col min="14594" max="14594" width="3" style="3" customWidth="1"/>
    <col min="14595" max="14595" width="59.33203125" style="3" bestFit="1" customWidth="1"/>
    <col min="14596" max="14596" width="2.33203125" style="3" customWidth="1"/>
    <col min="14597" max="14849" width="9.109375" style="3"/>
    <col min="14850" max="14850" width="3" style="3" customWidth="1"/>
    <col min="14851" max="14851" width="59.33203125" style="3" bestFit="1" customWidth="1"/>
    <col min="14852" max="14852" width="2.33203125" style="3" customWidth="1"/>
    <col min="14853" max="15105" width="9.109375" style="3"/>
    <col min="15106" max="15106" width="3" style="3" customWidth="1"/>
    <col min="15107" max="15107" width="59.33203125" style="3" bestFit="1" customWidth="1"/>
    <col min="15108" max="15108" width="2.33203125" style="3" customWidth="1"/>
    <col min="15109" max="15361" width="9.109375" style="3"/>
    <col min="15362" max="15362" width="3" style="3" customWidth="1"/>
    <col min="15363" max="15363" width="59.33203125" style="3" bestFit="1" customWidth="1"/>
    <col min="15364" max="15364" width="2.33203125" style="3" customWidth="1"/>
    <col min="15365" max="15617" width="9.109375" style="3"/>
    <col min="15618" max="15618" width="3" style="3" customWidth="1"/>
    <col min="15619" max="15619" width="59.33203125" style="3" bestFit="1" customWidth="1"/>
    <col min="15620" max="15620" width="2.33203125" style="3" customWidth="1"/>
    <col min="15621" max="15873" width="9.109375" style="3"/>
    <col min="15874" max="15874" width="3" style="3" customWidth="1"/>
    <col min="15875" max="15875" width="59.33203125" style="3" bestFit="1" customWidth="1"/>
    <col min="15876" max="15876" width="2.33203125" style="3" customWidth="1"/>
    <col min="15877" max="16129" width="9.109375" style="3"/>
    <col min="16130" max="16130" width="3" style="3" customWidth="1"/>
    <col min="16131" max="16131" width="59.33203125" style="3" bestFit="1" customWidth="1"/>
    <col min="16132" max="16132" width="2.33203125" style="3" customWidth="1"/>
    <col min="16133" max="16384" width="9.109375" style="3"/>
  </cols>
  <sheetData>
    <row r="1" spans="1:194" x14ac:dyDescent="0.3">
      <c r="T1" s="1"/>
      <c r="U1" s="1"/>
      <c r="V1" s="2"/>
      <c r="AJ1" s="4"/>
      <c r="AK1" s="4"/>
      <c r="AL1" s="5"/>
      <c r="AM1" s="5"/>
      <c r="AN1" s="6"/>
      <c r="AO1" s="4"/>
      <c r="AP1" s="4"/>
      <c r="AQ1" s="4"/>
      <c r="AR1" s="4"/>
      <c r="AS1" s="4"/>
      <c r="AT1" s="4"/>
      <c r="AU1" s="4"/>
      <c r="AV1" s="4"/>
      <c r="AW1" s="4"/>
      <c r="AX1" s="4"/>
      <c r="AY1" s="4"/>
      <c r="BB1" s="4"/>
      <c r="BC1" s="4"/>
      <c r="BD1" s="5"/>
      <c r="BE1" s="5"/>
      <c r="BF1" s="6"/>
      <c r="BG1" s="4"/>
      <c r="BH1" s="4"/>
      <c r="BI1" s="4"/>
      <c r="BJ1" s="4"/>
      <c r="BK1" s="4"/>
      <c r="BL1" s="4"/>
      <c r="BM1" s="4"/>
      <c r="BN1" s="4"/>
      <c r="BO1" s="4"/>
      <c r="BP1" s="4"/>
      <c r="BQ1" s="4"/>
      <c r="BT1" s="4"/>
      <c r="BU1" s="4"/>
      <c r="BV1" s="5"/>
      <c r="BW1" s="5"/>
      <c r="BX1" s="6"/>
      <c r="BY1" s="4"/>
      <c r="BZ1" s="4"/>
      <c r="CA1" s="4"/>
      <c r="CB1" s="4"/>
      <c r="CC1" s="4"/>
      <c r="CD1" s="4"/>
      <c r="CE1" s="4"/>
      <c r="CF1" s="4"/>
      <c r="CG1" s="4"/>
      <c r="CH1" s="4"/>
      <c r="CI1" s="4"/>
      <c r="CL1" s="4"/>
      <c r="CM1" s="4"/>
      <c r="CN1" s="5"/>
      <c r="CO1" s="5"/>
      <c r="CP1" s="6"/>
      <c r="CQ1" s="4"/>
      <c r="CR1" s="4"/>
      <c r="CS1" s="4"/>
      <c r="CT1" s="4"/>
      <c r="CU1" s="4"/>
      <c r="CV1" s="4"/>
      <c r="CW1" s="4"/>
      <c r="CX1" s="4"/>
      <c r="CY1" s="4"/>
      <c r="CZ1" s="4"/>
      <c r="DA1" s="4"/>
      <c r="DD1" s="4"/>
      <c r="DE1" s="4"/>
      <c r="DF1" s="5"/>
      <c r="DG1" s="5"/>
      <c r="DH1" s="6"/>
      <c r="DI1" s="4"/>
      <c r="DJ1" s="4"/>
      <c r="DK1" s="4"/>
      <c r="DL1" s="4"/>
      <c r="DM1" s="4"/>
      <c r="DN1" s="4"/>
      <c r="DO1" s="4"/>
      <c r="DP1" s="4"/>
      <c r="DQ1" s="4"/>
      <c r="DR1" s="4"/>
      <c r="DS1" s="4"/>
      <c r="DW1" s="24"/>
      <c r="DX1" s="57"/>
      <c r="DY1" s="57"/>
      <c r="DZ1" s="57"/>
      <c r="EA1" s="57"/>
      <c r="EB1" s="57"/>
      <c r="EC1" s="57"/>
      <c r="ED1" s="57"/>
      <c r="EE1" s="57"/>
      <c r="EF1" s="57"/>
      <c r="EG1" s="57"/>
      <c r="EH1" s="57"/>
      <c r="EI1" s="57"/>
      <c r="EJ1" s="58"/>
      <c r="EK1" s="58"/>
      <c r="EL1" s="58"/>
      <c r="EM1" s="58"/>
      <c r="EN1" s="58"/>
    </row>
    <row r="2" spans="1:194" ht="17.399999999999999" customHeight="1" x14ac:dyDescent="0.3">
      <c r="S2" s="4"/>
      <c r="T2" s="5"/>
      <c r="U2" s="5"/>
      <c r="V2" s="6"/>
      <c r="W2" s="4"/>
      <c r="X2" s="4"/>
      <c r="Y2" s="4"/>
      <c r="Z2" s="4"/>
      <c r="AA2" s="4"/>
      <c r="AB2" s="4"/>
      <c r="AC2" s="4"/>
      <c r="AD2" s="4"/>
      <c r="AE2" s="4"/>
      <c r="AF2" s="4"/>
      <c r="AG2" s="4"/>
      <c r="AJ2" s="4"/>
      <c r="AK2" s="4"/>
      <c r="AL2" s="5"/>
      <c r="AM2" s="5"/>
      <c r="AN2" s="6"/>
      <c r="AO2" s="4"/>
      <c r="AP2" s="4"/>
      <c r="AQ2" s="4"/>
      <c r="AR2" s="4"/>
      <c r="AS2" s="4"/>
      <c r="AT2" s="4"/>
      <c r="AU2" s="4"/>
      <c r="AV2" s="4"/>
      <c r="AW2" s="4"/>
      <c r="AX2" s="4"/>
      <c r="AY2" s="4"/>
      <c r="BB2" s="4"/>
      <c r="BC2" s="4"/>
      <c r="BD2" s="5"/>
      <c r="BE2" s="5"/>
      <c r="BF2" s="6"/>
      <c r="BG2" s="4"/>
      <c r="BH2" s="4"/>
      <c r="BI2" s="4"/>
      <c r="BJ2" s="4"/>
      <c r="BK2" s="4"/>
      <c r="BL2" s="4"/>
      <c r="BM2" s="4"/>
      <c r="BN2" s="4"/>
      <c r="BO2" s="4"/>
      <c r="BP2" s="4"/>
      <c r="BQ2" s="4"/>
      <c r="BT2" s="4"/>
      <c r="BU2" s="4"/>
      <c r="BV2" s="5"/>
      <c r="BW2" s="5"/>
      <c r="BX2" s="6"/>
      <c r="BY2" s="4"/>
      <c r="BZ2" s="4"/>
      <c r="CA2" s="4"/>
      <c r="CB2" s="4"/>
      <c r="CC2" s="4"/>
      <c r="CD2" s="4"/>
      <c r="CE2" s="4"/>
      <c r="CF2" s="4"/>
      <c r="CG2" s="4"/>
      <c r="CH2" s="4"/>
      <c r="CI2" s="4"/>
      <c r="CL2" s="4"/>
      <c r="CM2" s="4"/>
      <c r="CN2" s="5"/>
      <c r="CO2" s="5"/>
      <c r="CP2" s="6"/>
      <c r="CQ2" s="4"/>
      <c r="CR2" s="4"/>
      <c r="CS2" s="4"/>
      <c r="CT2" s="4"/>
      <c r="CU2" s="4"/>
      <c r="CV2" s="4"/>
      <c r="CW2" s="4"/>
      <c r="CX2" s="4"/>
      <c r="CY2" s="4"/>
      <c r="CZ2" s="4"/>
      <c r="DA2" s="4"/>
      <c r="DD2" s="4"/>
      <c r="DE2" s="4"/>
      <c r="DF2" s="5"/>
      <c r="DG2" s="5"/>
      <c r="DH2" s="6"/>
      <c r="DI2" s="4"/>
      <c r="DJ2" s="4"/>
      <c r="DK2" s="4"/>
      <c r="DL2" s="4"/>
      <c r="DM2" s="4"/>
      <c r="DN2" s="4"/>
      <c r="DO2" s="4"/>
      <c r="DP2" s="4"/>
      <c r="DQ2" s="4"/>
      <c r="DR2" s="4"/>
      <c r="DS2" s="4"/>
      <c r="DW2" s="27"/>
      <c r="DX2" s="59"/>
      <c r="DY2" s="59"/>
      <c r="DZ2" s="59"/>
      <c r="EA2" s="59"/>
      <c r="EB2" s="59"/>
      <c r="EC2" s="59"/>
      <c r="ED2" s="59"/>
      <c r="EE2" s="59"/>
      <c r="EF2" s="59"/>
      <c r="EG2" s="59"/>
      <c r="EH2" s="59"/>
      <c r="EI2" s="59"/>
      <c r="EJ2" s="58"/>
      <c r="EK2" s="58"/>
      <c r="EL2" s="58"/>
      <c r="EM2" s="58"/>
      <c r="EN2" s="58"/>
    </row>
    <row r="3" spans="1:194" s="9" customFormat="1" ht="34.950000000000003" customHeight="1" x14ac:dyDescent="0.3">
      <c r="A3" s="53" t="s">
        <v>154</v>
      </c>
      <c r="B3" s="7" t="s">
        <v>0</v>
      </c>
      <c r="C3" s="8"/>
      <c r="D3" s="2"/>
      <c r="S3" s="53" t="s">
        <v>155</v>
      </c>
      <c r="T3" s="140" t="s">
        <v>12</v>
      </c>
      <c r="U3" s="140"/>
      <c r="V3" s="140"/>
      <c r="W3" s="140"/>
      <c r="X3" s="10"/>
      <c r="Y3" s="10"/>
      <c r="Z3" s="10"/>
      <c r="AA3" s="10"/>
      <c r="AB3" s="10"/>
      <c r="AC3" s="10"/>
      <c r="AD3" s="10"/>
      <c r="AE3" s="10"/>
      <c r="AF3" s="10"/>
      <c r="AG3" s="10"/>
      <c r="AJ3" s="10"/>
      <c r="AK3" s="53" t="s">
        <v>156</v>
      </c>
      <c r="AL3" s="11" t="s">
        <v>22</v>
      </c>
      <c r="AM3" s="12"/>
      <c r="AN3" s="6"/>
      <c r="AO3" s="10"/>
      <c r="AP3" s="10"/>
      <c r="AQ3" s="10"/>
      <c r="AR3" s="10"/>
      <c r="AS3" s="10"/>
      <c r="AT3" s="10"/>
      <c r="AU3" s="10"/>
      <c r="AV3" s="10"/>
      <c r="AW3" s="10"/>
      <c r="AX3" s="10"/>
      <c r="AY3" s="10"/>
      <c r="BB3" s="10"/>
      <c r="BC3" s="53" t="s">
        <v>157</v>
      </c>
      <c r="BD3" s="141" t="s">
        <v>32</v>
      </c>
      <c r="BE3" s="141"/>
      <c r="BF3" s="141"/>
      <c r="BG3" s="10"/>
      <c r="BH3" s="10"/>
      <c r="BI3" s="10"/>
      <c r="BJ3" s="10"/>
      <c r="BK3" s="10"/>
      <c r="BL3" s="10"/>
      <c r="BM3" s="10"/>
      <c r="BN3" s="10"/>
      <c r="BO3" s="10"/>
      <c r="BP3" s="10"/>
      <c r="BQ3" s="10"/>
      <c r="BT3" s="13"/>
      <c r="BU3" s="53" t="s">
        <v>158</v>
      </c>
      <c r="BV3" s="11" t="s">
        <v>42</v>
      </c>
      <c r="BW3" s="14"/>
      <c r="BX3" s="6"/>
      <c r="BY3" s="13"/>
      <c r="BZ3" s="13"/>
      <c r="CA3" s="13"/>
      <c r="CB3" s="13"/>
      <c r="CC3" s="13"/>
      <c r="CD3" s="13"/>
      <c r="CE3" s="13"/>
      <c r="CF3" s="13"/>
      <c r="CG3" s="13"/>
      <c r="CH3" s="13"/>
      <c r="CI3" s="13"/>
      <c r="CL3" s="13"/>
      <c r="CM3" s="53" t="s">
        <v>159</v>
      </c>
      <c r="CN3" s="141" t="s">
        <v>52</v>
      </c>
      <c r="CO3" s="141"/>
      <c r="CP3" s="141"/>
      <c r="CQ3" s="141"/>
      <c r="CR3" s="11"/>
      <c r="CS3" s="11"/>
      <c r="CT3" s="11"/>
      <c r="CU3" s="13"/>
      <c r="CV3" s="13"/>
      <c r="CW3" s="13"/>
      <c r="CX3" s="13"/>
      <c r="CY3" s="13"/>
      <c r="CZ3" s="13"/>
      <c r="DA3" s="13"/>
      <c r="DD3" s="13"/>
      <c r="DE3" s="53" t="s">
        <v>160</v>
      </c>
      <c r="DF3" s="141" t="s">
        <v>62</v>
      </c>
      <c r="DG3" s="141"/>
      <c r="DH3" s="141"/>
      <c r="DI3" s="141"/>
      <c r="DJ3" s="11"/>
      <c r="DK3" s="11"/>
      <c r="DL3" s="13"/>
      <c r="DM3" s="13"/>
      <c r="DN3" s="13"/>
      <c r="DO3" s="13"/>
      <c r="DP3" s="13"/>
      <c r="DQ3" s="13"/>
      <c r="DR3" s="13"/>
      <c r="DS3" s="13"/>
      <c r="DW3" s="27"/>
      <c r="DX3" s="142" t="str">
        <f>CONCATENATE("Results Belbin test per section of ",Start!C2)</f>
        <v xml:space="preserve">Results Belbin test per section of </v>
      </c>
      <c r="DY3" s="142"/>
      <c r="DZ3" s="142"/>
      <c r="EA3" s="142"/>
      <c r="EB3" s="142"/>
      <c r="EC3" s="142"/>
      <c r="ED3" s="142"/>
      <c r="EE3" s="142"/>
      <c r="EF3" s="142"/>
      <c r="EG3" s="142"/>
      <c r="EH3" s="142"/>
      <c r="EI3" s="59"/>
      <c r="EJ3" s="60"/>
      <c r="EK3" s="60"/>
      <c r="EL3" s="60"/>
      <c r="EM3" s="60"/>
      <c r="EN3" s="60"/>
    </row>
    <row r="4" spans="1:194" ht="18" thickBot="1" x14ac:dyDescent="0.35">
      <c r="S4" s="4"/>
      <c r="T4" s="15"/>
      <c r="U4" s="15"/>
      <c r="V4" s="6"/>
      <c r="W4" s="4"/>
      <c r="X4" s="4"/>
      <c r="Y4" s="4"/>
      <c r="Z4" s="4"/>
      <c r="AA4" s="4"/>
      <c r="AB4" s="4"/>
      <c r="AC4" s="4"/>
      <c r="AD4" s="4"/>
      <c r="AE4" s="4"/>
      <c r="AF4" s="4"/>
      <c r="AG4" s="4"/>
      <c r="AJ4" s="4"/>
      <c r="AK4" s="4"/>
      <c r="AL4" s="15"/>
      <c r="AM4" s="15"/>
      <c r="AN4" s="6"/>
      <c r="AO4" s="4"/>
      <c r="AP4" s="4"/>
      <c r="AQ4" s="4"/>
      <c r="AR4" s="4"/>
      <c r="AS4" s="4"/>
      <c r="AT4" s="4"/>
      <c r="AU4" s="4"/>
      <c r="AV4" s="4"/>
      <c r="AW4" s="4"/>
      <c r="AX4" s="4"/>
      <c r="AY4" s="4"/>
      <c r="BB4" s="4"/>
      <c r="BC4" s="4"/>
      <c r="BD4" s="15"/>
      <c r="BE4" s="15"/>
      <c r="BF4" s="6"/>
      <c r="BG4" s="4"/>
      <c r="BH4" s="4"/>
      <c r="BI4" s="4"/>
      <c r="BJ4" s="4"/>
      <c r="BK4" s="4"/>
      <c r="BL4" s="4"/>
      <c r="BM4" s="4"/>
      <c r="BN4" s="4"/>
      <c r="BO4" s="4"/>
      <c r="BP4" s="4"/>
      <c r="BQ4" s="4"/>
      <c r="BT4" s="4"/>
      <c r="BU4" s="4"/>
      <c r="BV4" s="15"/>
      <c r="BW4" s="15"/>
      <c r="BX4" s="6"/>
      <c r="BY4" s="4"/>
      <c r="BZ4" s="4"/>
      <c r="CA4" s="4"/>
      <c r="CB4" s="4"/>
      <c r="CC4" s="4"/>
      <c r="CD4" s="4"/>
      <c r="CE4" s="4"/>
      <c r="CF4" s="4"/>
      <c r="CG4" s="4"/>
      <c r="CH4" s="4"/>
      <c r="CI4" s="4"/>
      <c r="CL4" s="4"/>
      <c r="CM4" s="4"/>
      <c r="CN4" s="15"/>
      <c r="CO4" s="15"/>
      <c r="CP4" s="6"/>
      <c r="CQ4" s="4"/>
      <c r="CR4" s="4"/>
      <c r="CS4" s="4"/>
      <c r="CT4" s="4"/>
      <c r="CU4" s="4"/>
      <c r="CV4" s="4"/>
      <c r="CW4" s="4"/>
      <c r="CX4" s="4"/>
      <c r="CY4" s="4"/>
      <c r="CZ4" s="4"/>
      <c r="DA4" s="4"/>
      <c r="DD4" s="4"/>
      <c r="DE4" s="4"/>
      <c r="DF4" s="15"/>
      <c r="DG4" s="15"/>
      <c r="DH4" s="6"/>
      <c r="DI4" s="4"/>
      <c r="DJ4" s="4"/>
      <c r="DK4" s="4"/>
      <c r="DL4" s="4"/>
      <c r="DM4" s="4"/>
      <c r="DN4" s="4"/>
      <c r="DO4" s="4"/>
      <c r="DP4" s="4"/>
      <c r="DQ4" s="4"/>
      <c r="DR4" s="4"/>
      <c r="DS4" s="4"/>
      <c r="DW4" s="27"/>
      <c r="DX4" s="137" t="s">
        <v>72</v>
      </c>
      <c r="DY4" s="138"/>
      <c r="DZ4" s="137" t="s">
        <v>73</v>
      </c>
      <c r="EA4" s="139"/>
      <c r="EB4" s="139"/>
      <c r="EC4" s="139"/>
      <c r="ED4" s="139"/>
      <c r="EE4" s="139"/>
      <c r="EF4" s="139"/>
      <c r="EG4" s="139"/>
      <c r="EH4" s="138"/>
      <c r="EI4" s="59"/>
      <c r="EJ4" s="59"/>
      <c r="EK4" s="130" t="s">
        <v>81</v>
      </c>
      <c r="EL4" s="131"/>
      <c r="EM4" s="131"/>
      <c r="EN4" s="132"/>
      <c r="EU4" s="28"/>
      <c r="EV4" s="28">
        <f>Start!C2</f>
        <v>0</v>
      </c>
    </row>
    <row r="5" spans="1:194" s="17" customFormat="1" ht="31.95" customHeight="1" thickTop="1" thickBot="1" x14ac:dyDescent="0.35">
      <c r="B5" s="16" t="s">
        <v>1</v>
      </c>
      <c r="C5" s="16"/>
      <c r="D5" s="41">
        <v>1</v>
      </c>
      <c r="F5" s="133" t="s">
        <v>2</v>
      </c>
      <c r="G5" s="134"/>
      <c r="H5" s="134"/>
      <c r="I5" s="134"/>
      <c r="J5" s="134"/>
      <c r="K5" s="134"/>
      <c r="L5" s="134"/>
      <c r="M5" s="134"/>
      <c r="N5" s="134"/>
      <c r="S5" s="18"/>
      <c r="T5" s="19" t="s">
        <v>13</v>
      </c>
      <c r="U5" s="19"/>
      <c r="V5" s="41">
        <v>2</v>
      </c>
      <c r="W5" s="18"/>
      <c r="X5" s="135" t="s">
        <v>2</v>
      </c>
      <c r="Y5" s="136"/>
      <c r="Z5" s="136"/>
      <c r="AA5" s="136"/>
      <c r="AB5" s="136"/>
      <c r="AC5" s="136"/>
      <c r="AD5" s="136"/>
      <c r="AE5" s="136"/>
      <c r="AF5" s="136"/>
      <c r="AG5" s="18"/>
      <c r="AJ5" s="18"/>
      <c r="AK5" s="18"/>
      <c r="AL5" s="19" t="s">
        <v>23</v>
      </c>
      <c r="AM5" s="19"/>
      <c r="AN5" s="41">
        <v>1</v>
      </c>
      <c r="AO5" s="18"/>
      <c r="AP5" s="135" t="s">
        <v>2</v>
      </c>
      <c r="AQ5" s="136"/>
      <c r="AR5" s="136"/>
      <c r="AS5" s="136"/>
      <c r="AT5" s="136"/>
      <c r="AU5" s="136"/>
      <c r="AV5" s="136"/>
      <c r="AW5" s="136"/>
      <c r="AX5" s="136"/>
      <c r="AY5" s="18"/>
      <c r="BB5" s="18"/>
      <c r="BC5" s="18"/>
      <c r="BD5" s="19" t="s">
        <v>33</v>
      </c>
      <c r="BE5" s="19"/>
      <c r="BF5" s="41">
        <v>1</v>
      </c>
      <c r="BG5" s="18"/>
      <c r="BH5" s="135" t="s">
        <v>2</v>
      </c>
      <c r="BI5" s="136"/>
      <c r="BJ5" s="136"/>
      <c r="BK5" s="136"/>
      <c r="BL5" s="136"/>
      <c r="BM5" s="136"/>
      <c r="BN5" s="136"/>
      <c r="BO5" s="136"/>
      <c r="BP5" s="136"/>
      <c r="BQ5" s="18"/>
      <c r="BT5" s="18"/>
      <c r="BU5" s="18"/>
      <c r="BV5" s="19" t="s">
        <v>43</v>
      </c>
      <c r="BW5" s="19"/>
      <c r="BX5" s="41">
        <v>1</v>
      </c>
      <c r="BY5" s="18"/>
      <c r="BZ5" s="135" t="s">
        <v>2</v>
      </c>
      <c r="CA5" s="136"/>
      <c r="CB5" s="136"/>
      <c r="CC5" s="136"/>
      <c r="CD5" s="136"/>
      <c r="CE5" s="136"/>
      <c r="CF5" s="136"/>
      <c r="CG5" s="136"/>
      <c r="CH5" s="136"/>
      <c r="CI5" s="18"/>
      <c r="CL5" s="18"/>
      <c r="CM5" s="18"/>
      <c r="CN5" s="19" t="s">
        <v>53</v>
      </c>
      <c r="CO5" s="19"/>
      <c r="CP5" s="41">
        <v>1</v>
      </c>
      <c r="CQ5" s="18"/>
      <c r="CR5" s="135" t="s">
        <v>2</v>
      </c>
      <c r="CS5" s="136"/>
      <c r="CT5" s="136"/>
      <c r="CU5" s="136"/>
      <c r="CV5" s="136"/>
      <c r="CW5" s="136"/>
      <c r="CX5" s="136"/>
      <c r="CY5" s="136"/>
      <c r="CZ5" s="136"/>
      <c r="DA5" s="18"/>
      <c r="DD5" s="4"/>
      <c r="DE5" s="4"/>
      <c r="DF5" s="15" t="s">
        <v>63</v>
      </c>
      <c r="DG5" s="15"/>
      <c r="DH5" s="41">
        <v>1</v>
      </c>
      <c r="DI5" s="4"/>
      <c r="DJ5" s="135" t="s">
        <v>2</v>
      </c>
      <c r="DK5" s="136"/>
      <c r="DL5" s="136"/>
      <c r="DM5" s="136"/>
      <c r="DN5" s="136"/>
      <c r="DO5" s="136"/>
      <c r="DP5" s="136"/>
      <c r="DQ5" s="136"/>
      <c r="DR5" s="136"/>
      <c r="DS5" s="4"/>
      <c r="DW5" s="27"/>
      <c r="DX5" s="56" t="s">
        <v>74</v>
      </c>
      <c r="DY5" s="56"/>
      <c r="DZ5" s="80">
        <f>D9</f>
        <v>2</v>
      </c>
      <c r="EA5" s="80">
        <f>D13</f>
        <v>1</v>
      </c>
      <c r="EB5" s="80">
        <f>D21</f>
        <v>0</v>
      </c>
      <c r="EC5" s="80">
        <f>D19</f>
        <v>1</v>
      </c>
      <c r="ED5" s="80">
        <f>D5</f>
        <v>1</v>
      </c>
      <c r="EE5" s="80">
        <f>D17</f>
        <v>1</v>
      </c>
      <c r="EF5" s="80">
        <f>D7</f>
        <v>1</v>
      </c>
      <c r="EG5" s="80">
        <f>D11</f>
        <v>2</v>
      </c>
      <c r="EH5" s="80">
        <f>D15</f>
        <v>1</v>
      </c>
      <c r="EI5" s="59"/>
      <c r="EJ5" s="61"/>
      <c r="EK5" s="62" t="s">
        <v>82</v>
      </c>
      <c r="EL5" s="63"/>
      <c r="EM5" s="64">
        <f>DZ19</f>
        <v>11</v>
      </c>
      <c r="EN5" s="65"/>
      <c r="EO5" s="26"/>
      <c r="EU5" s="54" t="str">
        <f>EK5</f>
        <v>Implementor</v>
      </c>
      <c r="EV5" s="54">
        <f>EM5</f>
        <v>11</v>
      </c>
    </row>
    <row r="6" spans="1:194" ht="4.95" customHeight="1" thickTop="1" thickBot="1" x14ac:dyDescent="0.35">
      <c r="F6" s="134"/>
      <c r="G6" s="134"/>
      <c r="H6" s="134"/>
      <c r="I6" s="134"/>
      <c r="J6" s="134"/>
      <c r="K6" s="134"/>
      <c r="L6" s="134"/>
      <c r="M6" s="134"/>
      <c r="N6" s="134"/>
      <c r="S6" s="4"/>
      <c r="T6" s="15"/>
      <c r="U6" s="15"/>
      <c r="V6" s="2"/>
      <c r="W6" s="4"/>
      <c r="X6" s="136"/>
      <c r="Y6" s="136"/>
      <c r="Z6" s="136"/>
      <c r="AA6" s="136"/>
      <c r="AB6" s="136"/>
      <c r="AC6" s="136"/>
      <c r="AD6" s="136"/>
      <c r="AE6" s="136"/>
      <c r="AF6" s="136"/>
      <c r="AG6" s="4"/>
      <c r="AJ6" s="4"/>
      <c r="AK6" s="4"/>
      <c r="AL6" s="15"/>
      <c r="AM6" s="15"/>
      <c r="AN6" s="2"/>
      <c r="AO6" s="4"/>
      <c r="AP6" s="136"/>
      <c r="AQ6" s="136"/>
      <c r="AR6" s="136"/>
      <c r="AS6" s="136"/>
      <c r="AT6" s="136"/>
      <c r="AU6" s="136"/>
      <c r="AV6" s="136"/>
      <c r="AW6" s="136"/>
      <c r="AX6" s="136"/>
      <c r="AY6" s="4"/>
      <c r="BB6" s="4"/>
      <c r="BC6" s="4"/>
      <c r="BD6" s="15"/>
      <c r="BE6" s="15"/>
      <c r="BF6" s="2"/>
      <c r="BG6" s="4"/>
      <c r="BH6" s="136"/>
      <c r="BI6" s="136"/>
      <c r="BJ6" s="136"/>
      <c r="BK6" s="136"/>
      <c r="BL6" s="136"/>
      <c r="BM6" s="136"/>
      <c r="BN6" s="136"/>
      <c r="BO6" s="136"/>
      <c r="BP6" s="136"/>
      <c r="BQ6" s="4"/>
      <c r="BT6" s="4"/>
      <c r="BU6" s="4"/>
      <c r="BV6" s="15"/>
      <c r="BW6" s="15"/>
      <c r="BX6" s="2"/>
      <c r="BY6" s="4"/>
      <c r="BZ6" s="136"/>
      <c r="CA6" s="136"/>
      <c r="CB6" s="136"/>
      <c r="CC6" s="136"/>
      <c r="CD6" s="136"/>
      <c r="CE6" s="136"/>
      <c r="CF6" s="136"/>
      <c r="CG6" s="136"/>
      <c r="CH6" s="136"/>
      <c r="CI6" s="4"/>
      <c r="CL6" s="4"/>
      <c r="CM6" s="4"/>
      <c r="CN6" s="15"/>
      <c r="CO6" s="15"/>
      <c r="CP6" s="2"/>
      <c r="CQ6" s="4"/>
      <c r="CR6" s="136"/>
      <c r="CS6" s="136"/>
      <c r="CT6" s="136"/>
      <c r="CU6" s="136"/>
      <c r="CV6" s="136"/>
      <c r="CW6" s="136"/>
      <c r="CX6" s="136"/>
      <c r="CY6" s="136"/>
      <c r="CZ6" s="136"/>
      <c r="DA6" s="4"/>
      <c r="DD6" s="4"/>
      <c r="DE6" s="4"/>
      <c r="DF6" s="15"/>
      <c r="DG6" s="15"/>
      <c r="DH6" s="2"/>
      <c r="DI6" s="4"/>
      <c r="DJ6" s="136"/>
      <c r="DK6" s="136"/>
      <c r="DL6" s="136"/>
      <c r="DM6" s="136"/>
      <c r="DN6" s="136"/>
      <c r="DO6" s="136"/>
      <c r="DP6" s="136"/>
      <c r="DQ6" s="136"/>
      <c r="DR6" s="136"/>
      <c r="DS6" s="4"/>
      <c r="DW6" s="27"/>
      <c r="DX6" s="66"/>
      <c r="DY6" s="66"/>
      <c r="DZ6" s="66"/>
      <c r="EA6" s="66"/>
      <c r="EB6" s="66"/>
      <c r="EC6" s="66"/>
      <c r="ED6" s="66"/>
      <c r="EE6" s="66"/>
      <c r="EF6" s="66"/>
      <c r="EG6" s="66"/>
      <c r="EH6" s="66"/>
      <c r="EI6" s="59"/>
      <c r="EJ6" s="58"/>
      <c r="EK6" s="67"/>
      <c r="EL6" s="58"/>
      <c r="EM6" s="64"/>
      <c r="EN6" s="68"/>
      <c r="EO6" s="25"/>
      <c r="EU6" s="54" t="str">
        <f>EK7</f>
        <v>Coordinator</v>
      </c>
      <c r="EV6" s="54">
        <f>EM7</f>
        <v>7</v>
      </c>
    </row>
    <row r="7" spans="1:194" s="17" customFormat="1" ht="31.95" customHeight="1" thickTop="1" thickBot="1" x14ac:dyDescent="0.35">
      <c r="B7" s="16" t="s">
        <v>3</v>
      </c>
      <c r="C7" s="16"/>
      <c r="D7" s="41">
        <v>1</v>
      </c>
      <c r="F7" s="134"/>
      <c r="G7" s="134"/>
      <c r="H7" s="134"/>
      <c r="I7" s="134"/>
      <c r="J7" s="134"/>
      <c r="K7" s="134"/>
      <c r="L7" s="134"/>
      <c r="M7" s="134"/>
      <c r="N7" s="134"/>
      <c r="S7" s="18"/>
      <c r="T7" s="19" t="s">
        <v>14</v>
      </c>
      <c r="U7" s="19"/>
      <c r="V7" s="41">
        <v>0</v>
      </c>
      <c r="W7" s="18"/>
      <c r="X7" s="136"/>
      <c r="Y7" s="136"/>
      <c r="Z7" s="136"/>
      <c r="AA7" s="136"/>
      <c r="AB7" s="136"/>
      <c r="AC7" s="136"/>
      <c r="AD7" s="136"/>
      <c r="AE7" s="136"/>
      <c r="AF7" s="136"/>
      <c r="AG7" s="18"/>
      <c r="AJ7" s="18"/>
      <c r="AK7" s="18"/>
      <c r="AL7" s="19" t="s">
        <v>24</v>
      </c>
      <c r="AM7" s="19"/>
      <c r="AN7" s="41">
        <v>1</v>
      </c>
      <c r="AO7" s="18"/>
      <c r="AP7" s="136"/>
      <c r="AQ7" s="136"/>
      <c r="AR7" s="136"/>
      <c r="AS7" s="136"/>
      <c r="AT7" s="136"/>
      <c r="AU7" s="136"/>
      <c r="AV7" s="136"/>
      <c r="AW7" s="136"/>
      <c r="AX7" s="136"/>
      <c r="AY7" s="18"/>
      <c r="BB7" s="18"/>
      <c r="BC7" s="18"/>
      <c r="BD7" s="19" t="s">
        <v>34</v>
      </c>
      <c r="BE7" s="19"/>
      <c r="BF7" s="41">
        <v>1</v>
      </c>
      <c r="BG7" s="18"/>
      <c r="BH7" s="136"/>
      <c r="BI7" s="136"/>
      <c r="BJ7" s="136"/>
      <c r="BK7" s="136"/>
      <c r="BL7" s="136"/>
      <c r="BM7" s="136"/>
      <c r="BN7" s="136"/>
      <c r="BO7" s="136"/>
      <c r="BP7" s="136"/>
      <c r="BQ7" s="18"/>
      <c r="BT7" s="18"/>
      <c r="BU7" s="18"/>
      <c r="BV7" s="19" t="s">
        <v>44</v>
      </c>
      <c r="BW7" s="19"/>
      <c r="BX7" s="41">
        <v>1</v>
      </c>
      <c r="BY7" s="18"/>
      <c r="BZ7" s="136"/>
      <c r="CA7" s="136"/>
      <c r="CB7" s="136"/>
      <c r="CC7" s="136"/>
      <c r="CD7" s="136"/>
      <c r="CE7" s="136"/>
      <c r="CF7" s="136"/>
      <c r="CG7" s="136"/>
      <c r="CH7" s="136"/>
      <c r="CI7" s="18"/>
      <c r="CL7" s="18"/>
      <c r="CM7" s="18"/>
      <c r="CN7" s="19" t="s">
        <v>54</v>
      </c>
      <c r="CO7" s="19"/>
      <c r="CP7" s="41">
        <v>1</v>
      </c>
      <c r="CQ7" s="18"/>
      <c r="CR7" s="136"/>
      <c r="CS7" s="136"/>
      <c r="CT7" s="136"/>
      <c r="CU7" s="136"/>
      <c r="CV7" s="136"/>
      <c r="CW7" s="136"/>
      <c r="CX7" s="136"/>
      <c r="CY7" s="136"/>
      <c r="CZ7" s="136"/>
      <c r="DA7" s="18"/>
      <c r="DD7" s="4"/>
      <c r="DE7" s="4"/>
      <c r="DF7" s="15" t="s">
        <v>64</v>
      </c>
      <c r="DG7" s="15"/>
      <c r="DH7" s="41">
        <v>1</v>
      </c>
      <c r="DI7" s="4"/>
      <c r="DJ7" s="136"/>
      <c r="DK7" s="136"/>
      <c r="DL7" s="136"/>
      <c r="DM7" s="136"/>
      <c r="DN7" s="136"/>
      <c r="DO7" s="136"/>
      <c r="DP7" s="136"/>
      <c r="DQ7" s="136"/>
      <c r="DR7" s="136"/>
      <c r="DS7" s="4"/>
      <c r="DW7" s="27"/>
      <c r="DX7" s="56" t="s">
        <v>75</v>
      </c>
      <c r="DY7" s="56"/>
      <c r="DZ7" s="81">
        <f>V5</f>
        <v>2</v>
      </c>
      <c r="EA7" s="81">
        <f>V17</f>
        <v>1</v>
      </c>
      <c r="EB7" s="81">
        <f>V15</f>
        <v>1</v>
      </c>
      <c r="EC7" s="81">
        <f>V11</f>
        <v>2</v>
      </c>
      <c r="ED7" s="81">
        <f>V21</f>
        <v>0</v>
      </c>
      <c r="EE7" s="81">
        <f>V7</f>
        <v>0</v>
      </c>
      <c r="EF7" s="81">
        <f>V9</f>
        <v>2</v>
      </c>
      <c r="EG7" s="81">
        <f>V13</f>
        <v>2</v>
      </c>
      <c r="EH7" s="81">
        <f>V19</f>
        <v>0</v>
      </c>
      <c r="EI7" s="59"/>
      <c r="EJ7" s="61"/>
      <c r="EK7" s="74" t="s">
        <v>83</v>
      </c>
      <c r="EL7" s="75"/>
      <c r="EM7" s="64">
        <f>EA19</f>
        <v>7</v>
      </c>
      <c r="EN7" s="65"/>
      <c r="EO7" s="26"/>
      <c r="EU7" s="54" t="str">
        <f>EK9</f>
        <v>Shaper</v>
      </c>
      <c r="EV7" s="54">
        <f>EM9</f>
        <v>6</v>
      </c>
    </row>
    <row r="8" spans="1:194" ht="4.95" customHeight="1" thickTop="1" thickBot="1" x14ac:dyDescent="0.35">
      <c r="S8" s="4"/>
      <c r="T8" s="15"/>
      <c r="U8" s="15"/>
      <c r="V8" s="2"/>
      <c r="W8" s="4"/>
      <c r="X8" s="4"/>
      <c r="Y8" s="4"/>
      <c r="Z8" s="4"/>
      <c r="AA8" s="4"/>
      <c r="AB8" s="4"/>
      <c r="AC8" s="4"/>
      <c r="AD8" s="4"/>
      <c r="AE8" s="4"/>
      <c r="AF8" s="4"/>
      <c r="AG8" s="4"/>
      <c r="AJ8" s="4"/>
      <c r="AK8" s="4"/>
      <c r="AL8" s="15"/>
      <c r="AM8" s="15"/>
      <c r="AN8" s="2"/>
      <c r="AO8" s="4"/>
      <c r="AP8" s="4"/>
      <c r="AQ8" s="4"/>
      <c r="AR8" s="4"/>
      <c r="AS8" s="4"/>
      <c r="AT8" s="4"/>
      <c r="AU8" s="4"/>
      <c r="AV8" s="4"/>
      <c r="AW8" s="4"/>
      <c r="AX8" s="4"/>
      <c r="AY8" s="4"/>
      <c r="BB8" s="4"/>
      <c r="BC8" s="4"/>
      <c r="BD8" s="15"/>
      <c r="BE8" s="15"/>
      <c r="BF8" s="2"/>
      <c r="BG8" s="4"/>
      <c r="BH8" s="4"/>
      <c r="BI8" s="4"/>
      <c r="BJ8" s="4"/>
      <c r="BK8" s="4"/>
      <c r="BL8" s="4"/>
      <c r="BM8" s="4"/>
      <c r="BN8" s="4"/>
      <c r="BO8" s="4"/>
      <c r="BP8" s="4"/>
      <c r="BQ8" s="4"/>
      <c r="BT8" s="4"/>
      <c r="BU8" s="4"/>
      <c r="BV8" s="15"/>
      <c r="BW8" s="15"/>
      <c r="BX8" s="2"/>
      <c r="BY8" s="4"/>
      <c r="BZ8" s="4"/>
      <c r="CA8" s="4"/>
      <c r="CB8" s="4"/>
      <c r="CC8" s="4"/>
      <c r="CD8" s="4"/>
      <c r="CE8" s="4"/>
      <c r="CF8" s="4"/>
      <c r="CG8" s="4"/>
      <c r="CH8" s="4"/>
      <c r="CI8" s="4"/>
      <c r="CL8" s="4"/>
      <c r="CM8" s="4"/>
      <c r="CN8" s="15"/>
      <c r="CO8" s="15"/>
      <c r="CP8" s="2"/>
      <c r="CQ8" s="4"/>
      <c r="CR8" s="4"/>
      <c r="CS8" s="4"/>
      <c r="CT8" s="4"/>
      <c r="CU8" s="4"/>
      <c r="CV8" s="4"/>
      <c r="CW8" s="4"/>
      <c r="CX8" s="4"/>
      <c r="CY8" s="4"/>
      <c r="CZ8" s="4"/>
      <c r="DA8" s="4"/>
      <c r="DD8" s="4"/>
      <c r="DE8" s="4"/>
      <c r="DF8" s="15"/>
      <c r="DG8" s="15"/>
      <c r="DH8" s="2"/>
      <c r="DI8" s="4"/>
      <c r="DJ8" s="4"/>
      <c r="DK8" s="4"/>
      <c r="DL8" s="4"/>
      <c r="DM8" s="4"/>
      <c r="DN8" s="4"/>
      <c r="DO8" s="4"/>
      <c r="DP8" s="4"/>
      <c r="DQ8" s="4"/>
      <c r="DR8" s="4"/>
      <c r="DS8" s="4"/>
      <c r="DW8" s="27"/>
      <c r="DX8" s="66"/>
      <c r="DY8" s="66"/>
      <c r="DZ8" s="66"/>
      <c r="EA8" s="66"/>
      <c r="EB8" s="66"/>
      <c r="EC8" s="66"/>
      <c r="ED8" s="66"/>
      <c r="EE8" s="66"/>
      <c r="EF8" s="66"/>
      <c r="EG8" s="66"/>
      <c r="EH8" s="66"/>
      <c r="EI8" s="59"/>
      <c r="EJ8" s="58"/>
      <c r="EK8" s="67"/>
      <c r="EL8" s="58"/>
      <c r="EM8" s="64"/>
      <c r="EN8" s="68"/>
      <c r="EO8" s="25"/>
      <c r="EU8" s="54" t="str">
        <f>EK11</f>
        <v>Plant</v>
      </c>
      <c r="EV8" s="54">
        <f>EM11</f>
        <v>8</v>
      </c>
    </row>
    <row r="9" spans="1:194" s="17" customFormat="1" ht="31.95" customHeight="1" thickTop="1" thickBot="1" x14ac:dyDescent="0.35">
      <c r="B9" s="16" t="s">
        <v>4</v>
      </c>
      <c r="C9" s="16"/>
      <c r="D9" s="41">
        <v>2</v>
      </c>
      <c r="S9" s="18"/>
      <c r="T9" s="19" t="s">
        <v>15</v>
      </c>
      <c r="U9" s="19"/>
      <c r="V9" s="41">
        <v>2</v>
      </c>
      <c r="W9" s="18"/>
      <c r="X9" s="18"/>
      <c r="Y9" s="18"/>
      <c r="Z9" s="18"/>
      <c r="AA9" s="18"/>
      <c r="AB9" s="18"/>
      <c r="AC9" s="18"/>
      <c r="AD9" s="18"/>
      <c r="AE9" s="18"/>
      <c r="AF9" s="18"/>
      <c r="AG9" s="18"/>
      <c r="AJ9" s="18"/>
      <c r="AK9" s="18"/>
      <c r="AL9" s="19" t="s">
        <v>25</v>
      </c>
      <c r="AM9" s="19"/>
      <c r="AN9" s="41">
        <v>1</v>
      </c>
      <c r="AO9" s="18"/>
      <c r="AP9" s="18"/>
      <c r="AQ9" s="18"/>
      <c r="AR9" s="18"/>
      <c r="AS9" s="18"/>
      <c r="AT9" s="128" t="str">
        <f>IF(AS11&gt;0,"YOU HAVE NOT USED ALL OF YOUR POINTS YET","")</f>
        <v/>
      </c>
      <c r="AU9" s="128"/>
      <c r="AV9" s="128"/>
      <c r="AW9" s="128"/>
      <c r="AX9" s="18"/>
      <c r="AY9" s="18"/>
      <c r="BB9" s="18"/>
      <c r="BC9" s="18"/>
      <c r="BD9" s="19" t="s">
        <v>35</v>
      </c>
      <c r="BE9" s="19"/>
      <c r="BF9" s="41">
        <v>1</v>
      </c>
      <c r="BG9" s="18"/>
      <c r="BH9" s="18"/>
      <c r="BI9" s="18"/>
      <c r="BJ9" s="18"/>
      <c r="BK9" s="18"/>
      <c r="BL9" s="18"/>
      <c r="BM9" s="18"/>
      <c r="BN9" s="18"/>
      <c r="BO9" s="18"/>
      <c r="BP9" s="18"/>
      <c r="BQ9" s="18"/>
      <c r="BT9" s="18"/>
      <c r="BU9" s="18"/>
      <c r="BV9" s="19" t="s">
        <v>45</v>
      </c>
      <c r="BW9" s="19"/>
      <c r="BX9" s="41">
        <v>1</v>
      </c>
      <c r="BY9" s="18"/>
      <c r="BZ9" s="18"/>
      <c r="CA9" s="18"/>
      <c r="CB9" s="18"/>
      <c r="CC9" s="18"/>
      <c r="CD9" s="18"/>
      <c r="CE9" s="18"/>
      <c r="CF9" s="18"/>
      <c r="CG9" s="18"/>
      <c r="CH9" s="18"/>
      <c r="CI9" s="18"/>
      <c r="CL9" s="18"/>
      <c r="CM9" s="18"/>
      <c r="CN9" s="19" t="s">
        <v>55</v>
      </c>
      <c r="CO9" s="19"/>
      <c r="CP9" s="41">
        <v>1</v>
      </c>
      <c r="CQ9" s="18"/>
      <c r="CR9" s="18"/>
      <c r="CS9" s="18"/>
      <c r="CT9" s="18"/>
      <c r="CU9" s="18"/>
      <c r="CV9" s="18"/>
      <c r="CW9" s="18"/>
      <c r="CX9" s="18"/>
      <c r="CY9" s="18"/>
      <c r="CZ9" s="18"/>
      <c r="DA9" s="18"/>
      <c r="DD9" s="4"/>
      <c r="DE9" s="4"/>
      <c r="DF9" s="15" t="s">
        <v>65</v>
      </c>
      <c r="DG9" s="15"/>
      <c r="DH9" s="41">
        <v>1</v>
      </c>
      <c r="DI9" s="4"/>
      <c r="DJ9" s="4"/>
      <c r="DK9" s="4"/>
      <c r="DL9" s="4"/>
      <c r="DM9" s="4"/>
      <c r="DN9" s="4"/>
      <c r="DO9" s="4"/>
      <c r="DP9" s="4"/>
      <c r="DQ9" s="4"/>
      <c r="DR9" s="4"/>
      <c r="DS9" s="4"/>
      <c r="DW9" s="27"/>
      <c r="DX9" s="56" t="s">
        <v>76</v>
      </c>
      <c r="DY9" s="56"/>
      <c r="DZ9" s="81">
        <f>AN21</f>
        <v>1</v>
      </c>
      <c r="EA9" s="81">
        <f>AN9</f>
        <v>1</v>
      </c>
      <c r="EB9" s="81">
        <f>AN19</f>
        <v>1</v>
      </c>
      <c r="EC9" s="81">
        <f>AN5</f>
        <v>1</v>
      </c>
      <c r="ED9" s="81">
        <f>AN11</f>
        <v>1</v>
      </c>
      <c r="EE9" s="81">
        <f>AN15</f>
        <v>2</v>
      </c>
      <c r="EF9" s="81">
        <f>AN17</f>
        <v>1</v>
      </c>
      <c r="EG9" s="81">
        <f>AN7</f>
        <v>1</v>
      </c>
      <c r="EH9" s="81">
        <f>AN13</f>
        <v>1</v>
      </c>
      <c r="EI9" s="59"/>
      <c r="EJ9" s="61"/>
      <c r="EK9" s="62" t="s">
        <v>84</v>
      </c>
      <c r="EL9" s="63"/>
      <c r="EM9" s="64">
        <f>EB19</f>
        <v>6</v>
      </c>
      <c r="EN9" s="65"/>
      <c r="EO9" s="26"/>
      <c r="EU9" s="54" t="str">
        <f>EK13</f>
        <v>Resource Investigator</v>
      </c>
      <c r="EV9" s="54">
        <f>EM13</f>
        <v>7</v>
      </c>
    </row>
    <row r="10" spans="1:194" ht="4.95" customHeight="1" thickTop="1" thickBot="1" x14ac:dyDescent="0.35">
      <c r="S10" s="4"/>
      <c r="T10" s="15"/>
      <c r="U10" s="15"/>
      <c r="V10" s="2"/>
      <c r="W10" s="4"/>
      <c r="X10" s="4"/>
      <c r="Y10" s="4"/>
      <c r="Z10" s="4"/>
      <c r="AA10" s="4"/>
      <c r="AB10" s="4"/>
      <c r="AC10" s="4"/>
      <c r="AD10" s="4"/>
      <c r="AE10" s="4"/>
      <c r="AF10" s="4"/>
      <c r="AG10" s="4"/>
      <c r="AJ10" s="4"/>
      <c r="AK10" s="4"/>
      <c r="AL10" s="15"/>
      <c r="AM10" s="15"/>
      <c r="AN10" s="2"/>
      <c r="AO10" s="4"/>
      <c r="AP10" s="4"/>
      <c r="AQ10" s="4"/>
      <c r="AR10" s="4"/>
      <c r="AS10" s="4"/>
      <c r="AT10" s="4"/>
      <c r="AU10" s="4"/>
      <c r="AV10" s="4"/>
      <c r="AW10" s="4"/>
      <c r="AX10" s="4"/>
      <c r="AY10" s="4"/>
      <c r="BB10" s="4"/>
      <c r="BC10" s="4"/>
      <c r="BD10" s="15"/>
      <c r="BE10" s="15"/>
      <c r="BF10" s="2"/>
      <c r="BG10" s="4"/>
      <c r="BH10" s="4"/>
      <c r="BI10" s="4"/>
      <c r="BJ10" s="4"/>
      <c r="BK10" s="4"/>
      <c r="BL10" s="4"/>
      <c r="BM10" s="4"/>
      <c r="BN10" s="4"/>
      <c r="BO10" s="4"/>
      <c r="BP10" s="4"/>
      <c r="BQ10" s="4"/>
      <c r="BT10" s="4"/>
      <c r="BU10" s="4"/>
      <c r="BV10" s="15"/>
      <c r="BW10" s="15"/>
      <c r="BX10" s="2"/>
      <c r="BY10" s="4"/>
      <c r="BZ10" s="4"/>
      <c r="CA10" s="4"/>
      <c r="CB10" s="4"/>
      <c r="CC10" s="4"/>
      <c r="CD10" s="4"/>
      <c r="CE10" s="4"/>
      <c r="CF10" s="4"/>
      <c r="CG10" s="4"/>
      <c r="CH10" s="4"/>
      <c r="CI10" s="4"/>
      <c r="CL10" s="4"/>
      <c r="CM10" s="4"/>
      <c r="CN10" s="15"/>
      <c r="CO10" s="15"/>
      <c r="CP10" s="2"/>
      <c r="CQ10" s="4"/>
      <c r="CR10" s="4"/>
      <c r="CS10" s="4"/>
      <c r="CT10" s="4"/>
      <c r="CU10" s="4"/>
      <c r="CV10" s="4"/>
      <c r="CW10" s="4"/>
      <c r="CX10" s="4"/>
      <c r="CY10" s="4"/>
      <c r="CZ10" s="4"/>
      <c r="DA10" s="4"/>
      <c r="DD10" s="4"/>
      <c r="DE10" s="4"/>
      <c r="DF10" s="15"/>
      <c r="DG10" s="15"/>
      <c r="DH10" s="2"/>
      <c r="DI10" s="4"/>
      <c r="DJ10" s="4"/>
      <c r="DK10" s="4"/>
      <c r="DL10" s="4"/>
      <c r="DM10" s="4"/>
      <c r="DN10" s="4"/>
      <c r="DO10" s="4"/>
      <c r="DP10" s="4"/>
      <c r="DQ10" s="4"/>
      <c r="DR10" s="4"/>
      <c r="DS10" s="4"/>
      <c r="DW10" s="27"/>
      <c r="DX10" s="66"/>
      <c r="DY10" s="66"/>
      <c r="DZ10" s="66"/>
      <c r="EA10" s="66"/>
      <c r="EB10" s="66"/>
      <c r="EC10" s="66"/>
      <c r="ED10" s="66"/>
      <c r="EE10" s="66"/>
      <c r="EF10" s="66"/>
      <c r="EG10" s="66"/>
      <c r="EH10" s="66"/>
      <c r="EI10" s="59"/>
      <c r="EJ10" s="58"/>
      <c r="EK10" s="67"/>
      <c r="EL10" s="58"/>
      <c r="EM10" s="64"/>
      <c r="EN10" s="68"/>
      <c r="EO10" s="25"/>
      <c r="EU10" s="54" t="str">
        <f>EK15</f>
        <v>Monitor Evaluator</v>
      </c>
      <c r="EV10" s="54">
        <f>EM15</f>
        <v>7</v>
      </c>
    </row>
    <row r="11" spans="1:194" s="17" customFormat="1" ht="31.95" customHeight="1" thickTop="1" thickBot="1" x14ac:dyDescent="0.35">
      <c r="B11" s="16" t="s">
        <v>5</v>
      </c>
      <c r="C11" s="16"/>
      <c r="D11" s="41">
        <v>2</v>
      </c>
      <c r="F11" s="129" t="s">
        <v>6</v>
      </c>
      <c r="G11" s="129"/>
      <c r="I11" s="22">
        <f>10-SUM(D5,D7,D9,D11,D13,D15,D17,D19,D21)</f>
        <v>0</v>
      </c>
      <c r="J11" s="126" t="str">
        <f>IF(I11&lt;0,"TOO MANY POINTS!","")</f>
        <v/>
      </c>
      <c r="K11" s="126"/>
      <c r="L11" s="126"/>
      <c r="M11" s="126"/>
      <c r="S11" s="18"/>
      <c r="T11" s="19" t="s">
        <v>16</v>
      </c>
      <c r="U11" s="19"/>
      <c r="V11" s="41">
        <v>2</v>
      </c>
      <c r="W11" s="18"/>
      <c r="X11" s="125" t="s">
        <v>6</v>
      </c>
      <c r="Y11" s="125"/>
      <c r="Z11" s="18"/>
      <c r="AA11" s="23">
        <f>10-SUM(V5,V7,V9,V11,V13,V15,V17,V19,V21)</f>
        <v>0</v>
      </c>
      <c r="AB11" s="126" t="str">
        <f>IF(AA11&lt;0,"TOO MANY POINTS!","")</f>
        <v/>
      </c>
      <c r="AC11" s="126"/>
      <c r="AD11" s="126"/>
      <c r="AE11" s="126"/>
      <c r="AF11" s="20"/>
      <c r="AG11" s="18"/>
      <c r="AJ11" s="18"/>
      <c r="AK11" s="18"/>
      <c r="AL11" s="19" t="s">
        <v>26</v>
      </c>
      <c r="AM11" s="19"/>
      <c r="AN11" s="41">
        <v>1</v>
      </c>
      <c r="AO11" s="18"/>
      <c r="AP11" s="125" t="s">
        <v>6</v>
      </c>
      <c r="AQ11" s="125"/>
      <c r="AR11" s="18"/>
      <c r="AS11" s="23">
        <f>10-SUM(AN5,AN7,AN9,AN11,AN13,AN15,AN17,AN19,AN21)</f>
        <v>0</v>
      </c>
      <c r="AT11" s="126" t="str">
        <f>IF(AS11&lt;0,"TOO MANY POINTS!","")</f>
        <v/>
      </c>
      <c r="AU11" s="126"/>
      <c r="AV11" s="126"/>
      <c r="AW11" s="126"/>
      <c r="AX11" s="20"/>
      <c r="AY11" s="18"/>
      <c r="BB11" s="18"/>
      <c r="BC11" s="18"/>
      <c r="BD11" s="19" t="s">
        <v>36</v>
      </c>
      <c r="BE11" s="19"/>
      <c r="BF11" s="41">
        <v>1</v>
      </c>
      <c r="BG11" s="18"/>
      <c r="BH11" s="125" t="s">
        <v>6</v>
      </c>
      <c r="BI11" s="125"/>
      <c r="BJ11" s="18"/>
      <c r="BK11" s="23">
        <f>10-SUM(BF5,BF7,BF9,BF11,BF13,BF15,BF17,BF19,BF21)</f>
        <v>0</v>
      </c>
      <c r="BL11" s="126" t="str">
        <f>IF(BK11&lt;0,"TOO MANY POINTS!","")</f>
        <v/>
      </c>
      <c r="BM11" s="126"/>
      <c r="BN11" s="126"/>
      <c r="BO11" s="126"/>
      <c r="BP11" s="20"/>
      <c r="BQ11" s="18"/>
      <c r="BT11" s="18"/>
      <c r="BU11" s="18"/>
      <c r="BV11" s="19" t="s">
        <v>46</v>
      </c>
      <c r="BW11" s="19"/>
      <c r="BX11" s="41">
        <v>1</v>
      </c>
      <c r="BY11" s="18"/>
      <c r="BZ11" s="125" t="s">
        <v>6</v>
      </c>
      <c r="CA11" s="125"/>
      <c r="CB11" s="18"/>
      <c r="CC11" s="23">
        <f>10-SUM(BX5,BX7,BX9,BX11,BX13,BX15,BX17,BX19,BX21)</f>
        <v>0</v>
      </c>
      <c r="CD11" s="126" t="str">
        <f>IF(CC11&lt;0,"TOO MANY POINTS!","")</f>
        <v/>
      </c>
      <c r="CE11" s="126"/>
      <c r="CF11" s="126"/>
      <c r="CG11" s="126"/>
      <c r="CH11" s="20"/>
      <c r="CI11" s="18"/>
      <c r="CL11" s="18"/>
      <c r="CM11" s="18"/>
      <c r="CN11" s="19" t="s">
        <v>56</v>
      </c>
      <c r="CO11" s="19"/>
      <c r="CP11" s="41">
        <v>1</v>
      </c>
      <c r="CQ11" s="18"/>
      <c r="CR11" s="125" t="s">
        <v>6</v>
      </c>
      <c r="CS11" s="125"/>
      <c r="CT11" s="18"/>
      <c r="CU11" s="23">
        <f>10-SUM(CP5,CP7,CP9,CP11,CP13,CP15,CP17,CP19,CP21)</f>
        <v>0</v>
      </c>
      <c r="CV11" s="126" t="str">
        <f>IF(CU11&lt;0,"TOO MANY POINTS!","")</f>
        <v/>
      </c>
      <c r="CW11" s="126"/>
      <c r="CX11" s="126"/>
      <c r="CY11" s="126"/>
      <c r="CZ11" s="20"/>
      <c r="DA11" s="18"/>
      <c r="DD11" s="4"/>
      <c r="DE11" s="4"/>
      <c r="DF11" s="15" t="s">
        <v>66</v>
      </c>
      <c r="DG11" s="15"/>
      <c r="DH11" s="41">
        <v>1</v>
      </c>
      <c r="DI11" s="4"/>
      <c r="DJ11" s="125" t="s">
        <v>6</v>
      </c>
      <c r="DK11" s="125"/>
      <c r="DL11" s="4"/>
      <c r="DM11" s="23">
        <f>10-SUM(DH5,DH7,DH9,DH11,DH13,DH15,DH17,DH19,DH21)</f>
        <v>0</v>
      </c>
      <c r="DN11" s="126" t="str">
        <f>IF(DM11&lt;0,"TOO MANY POINTS!","")</f>
        <v/>
      </c>
      <c r="DO11" s="126"/>
      <c r="DP11" s="126"/>
      <c r="DQ11" s="126"/>
      <c r="DR11" s="21"/>
      <c r="DS11" s="4"/>
      <c r="DW11" s="27"/>
      <c r="DX11" s="56" t="s">
        <v>77</v>
      </c>
      <c r="DY11" s="56"/>
      <c r="DZ11" s="81">
        <f>BF11</f>
        <v>1</v>
      </c>
      <c r="EA11" s="81">
        <f>BF7</f>
        <v>1</v>
      </c>
      <c r="EB11" s="81">
        <f>BF9</f>
        <v>1</v>
      </c>
      <c r="EC11" s="81">
        <f>BF13</f>
        <v>1</v>
      </c>
      <c r="ED11" s="81">
        <f>BF15</f>
        <v>2</v>
      </c>
      <c r="EE11" s="81">
        <f>BF19</f>
        <v>1</v>
      </c>
      <c r="EF11" s="81">
        <f>BF5</f>
        <v>1</v>
      </c>
      <c r="EG11" s="81">
        <f>BF17</f>
        <v>1</v>
      </c>
      <c r="EH11" s="81">
        <f>BF21</f>
        <v>1</v>
      </c>
      <c r="EI11" s="59"/>
      <c r="EJ11" s="61"/>
      <c r="EK11" s="74" t="s">
        <v>85</v>
      </c>
      <c r="EL11" s="75"/>
      <c r="EM11" s="64">
        <f>EC19</f>
        <v>8</v>
      </c>
      <c r="EN11" s="65"/>
      <c r="EO11" s="26"/>
      <c r="EU11" s="54" t="str">
        <f>EK17</f>
        <v>Team Worker</v>
      </c>
      <c r="EV11" s="54">
        <f>EM17</f>
        <v>9</v>
      </c>
    </row>
    <row r="12" spans="1:194" ht="4.95" customHeight="1" thickTop="1" thickBot="1" x14ac:dyDescent="0.35">
      <c r="J12" s="4"/>
      <c r="K12" s="4"/>
      <c r="L12" s="4"/>
      <c r="M12" s="4"/>
      <c r="S12" s="4"/>
      <c r="T12" s="15"/>
      <c r="U12" s="15"/>
      <c r="V12" s="2"/>
      <c r="W12" s="4"/>
      <c r="X12" s="4"/>
      <c r="Y12" s="4"/>
      <c r="Z12" s="4"/>
      <c r="AA12" s="4"/>
      <c r="AB12" s="4"/>
      <c r="AC12" s="4"/>
      <c r="AD12" s="4"/>
      <c r="AE12" s="4"/>
      <c r="AF12" s="21"/>
      <c r="AG12" s="4"/>
      <c r="AJ12" s="4"/>
      <c r="AK12" s="4"/>
      <c r="AL12" s="15"/>
      <c r="AM12" s="15"/>
      <c r="AN12" s="2"/>
      <c r="AO12" s="4"/>
      <c r="AP12" s="4"/>
      <c r="AQ12" s="4"/>
      <c r="AR12" s="4"/>
      <c r="AS12" s="4"/>
      <c r="AT12" s="4"/>
      <c r="AU12" s="4"/>
      <c r="AV12" s="4"/>
      <c r="AW12" s="4"/>
      <c r="AX12" s="21"/>
      <c r="AY12" s="4"/>
      <c r="BB12" s="4"/>
      <c r="BC12" s="4"/>
      <c r="BD12" s="15"/>
      <c r="BE12" s="15"/>
      <c r="BF12" s="2"/>
      <c r="BG12" s="4"/>
      <c r="BH12" s="4"/>
      <c r="BI12" s="4"/>
      <c r="BJ12" s="4"/>
      <c r="BK12" s="4"/>
      <c r="BL12" s="4"/>
      <c r="BM12" s="4"/>
      <c r="BN12" s="4"/>
      <c r="BO12" s="4"/>
      <c r="BP12" s="21"/>
      <c r="BQ12" s="4"/>
      <c r="BT12" s="4"/>
      <c r="BU12" s="4"/>
      <c r="BV12" s="15"/>
      <c r="BW12" s="15"/>
      <c r="BX12" s="2"/>
      <c r="BY12" s="4"/>
      <c r="BZ12" s="4"/>
      <c r="CA12" s="4"/>
      <c r="CB12" s="4"/>
      <c r="CC12" s="4"/>
      <c r="CD12" s="4"/>
      <c r="CE12" s="4"/>
      <c r="CF12" s="4"/>
      <c r="CG12" s="4"/>
      <c r="CH12" s="21"/>
      <c r="CI12" s="4"/>
      <c r="CL12" s="4"/>
      <c r="CM12" s="4"/>
      <c r="CN12" s="15"/>
      <c r="CO12" s="15"/>
      <c r="CP12" s="2"/>
      <c r="CQ12" s="4"/>
      <c r="CR12" s="4"/>
      <c r="CS12" s="4"/>
      <c r="CT12" s="4"/>
      <c r="CU12" s="4"/>
      <c r="CV12" s="4"/>
      <c r="CW12" s="4"/>
      <c r="CX12" s="4"/>
      <c r="CY12" s="4"/>
      <c r="CZ12" s="21"/>
      <c r="DA12" s="4"/>
      <c r="DD12" s="4"/>
      <c r="DE12" s="4"/>
      <c r="DF12" s="15"/>
      <c r="DG12" s="15"/>
      <c r="DH12" s="2"/>
      <c r="DI12" s="4"/>
      <c r="DJ12" s="4"/>
      <c r="DK12" s="4"/>
      <c r="DL12" s="4"/>
      <c r="DM12" s="4"/>
      <c r="DN12" s="4"/>
      <c r="DO12" s="4"/>
      <c r="DP12" s="4"/>
      <c r="DQ12" s="4"/>
      <c r="DR12" s="21"/>
      <c r="DS12" s="4"/>
      <c r="DW12" s="27"/>
      <c r="DX12" s="66"/>
      <c r="DY12" s="66"/>
      <c r="DZ12" s="66"/>
      <c r="EA12" s="66"/>
      <c r="EB12" s="66"/>
      <c r="EC12" s="66"/>
      <c r="ED12" s="66"/>
      <c r="EE12" s="66"/>
      <c r="EF12" s="66"/>
      <c r="EG12" s="66"/>
      <c r="EH12" s="66"/>
      <c r="EI12" s="59"/>
      <c r="EJ12" s="58"/>
      <c r="EK12" s="67"/>
      <c r="EL12" s="58"/>
      <c r="EM12" s="64"/>
      <c r="EN12" s="68"/>
      <c r="EO12" s="25"/>
      <c r="EU12" s="54" t="str">
        <f>EK19</f>
        <v>Complete Finisher</v>
      </c>
      <c r="EV12" s="54">
        <f>EM19</f>
        <v>9</v>
      </c>
    </row>
    <row r="13" spans="1:194" s="17" customFormat="1" ht="31.95" customHeight="1" thickTop="1" thickBot="1" x14ac:dyDescent="0.35">
      <c r="B13" s="16" t="s">
        <v>7</v>
      </c>
      <c r="C13" s="16"/>
      <c r="D13" s="41">
        <v>1</v>
      </c>
      <c r="J13" s="127" t="str">
        <f>IF(I11&gt;0,"YOU HAVE NOT USED ALL OF YOUR POINTS YET","")</f>
        <v/>
      </c>
      <c r="K13" s="127"/>
      <c r="L13" s="127"/>
      <c r="M13" s="127"/>
      <c r="S13" s="18"/>
      <c r="T13" s="19" t="s">
        <v>17</v>
      </c>
      <c r="U13" s="19"/>
      <c r="V13" s="41">
        <v>2</v>
      </c>
      <c r="W13" s="18"/>
      <c r="X13" s="18"/>
      <c r="Y13" s="18"/>
      <c r="Z13" s="18"/>
      <c r="AA13" s="18"/>
      <c r="AB13" s="127" t="str">
        <f>IF(AA11&gt;0,"YOU HAVE NOT USED ALL OF YOUR POINTS YET","")</f>
        <v/>
      </c>
      <c r="AC13" s="127"/>
      <c r="AD13" s="127"/>
      <c r="AE13" s="127"/>
      <c r="AF13" s="20"/>
      <c r="AG13" s="18"/>
      <c r="AJ13" s="18"/>
      <c r="AK13" s="18"/>
      <c r="AL13" s="19" t="s">
        <v>27</v>
      </c>
      <c r="AM13" s="19"/>
      <c r="AN13" s="41">
        <v>1</v>
      </c>
      <c r="AO13" s="18"/>
      <c r="AP13" s="18"/>
      <c r="AQ13" s="18"/>
      <c r="AR13" s="18"/>
      <c r="AS13" s="18"/>
      <c r="AT13" s="127" t="str">
        <f>IF(AS11&gt;0,"YOU HAVE NOT USED ALL OF YOUR POINTS YET","")</f>
        <v/>
      </c>
      <c r="AU13" s="127"/>
      <c r="AV13" s="127"/>
      <c r="AW13" s="127"/>
      <c r="AX13" s="20"/>
      <c r="AY13" s="18"/>
      <c r="BB13" s="18"/>
      <c r="BC13" s="18"/>
      <c r="BD13" s="19" t="s">
        <v>37</v>
      </c>
      <c r="BE13" s="19"/>
      <c r="BF13" s="41">
        <v>1</v>
      </c>
      <c r="BG13" s="18"/>
      <c r="BH13" s="18"/>
      <c r="BI13" s="18"/>
      <c r="BJ13" s="18"/>
      <c r="BK13" s="18"/>
      <c r="BL13" s="127" t="str">
        <f>IF(BK11&gt;0,"YOU HAVE NOT USED ALL OF YOUR POINTS YET","")</f>
        <v/>
      </c>
      <c r="BM13" s="127"/>
      <c r="BN13" s="127"/>
      <c r="BO13" s="127"/>
      <c r="BP13" s="20"/>
      <c r="BQ13" s="18"/>
      <c r="BT13" s="18"/>
      <c r="BU13" s="18"/>
      <c r="BV13" s="19" t="s">
        <v>47</v>
      </c>
      <c r="BW13" s="19"/>
      <c r="BX13" s="41">
        <v>2</v>
      </c>
      <c r="BY13" s="18"/>
      <c r="BZ13" s="18"/>
      <c r="CA13" s="18"/>
      <c r="CB13" s="18"/>
      <c r="CC13" s="18"/>
      <c r="CD13" s="127" t="str">
        <f>IF(CC11&gt;0,"YOU HAVE NOT USED ALL OF YOUR POINTS YET","")</f>
        <v/>
      </c>
      <c r="CE13" s="127"/>
      <c r="CF13" s="127"/>
      <c r="CG13" s="127"/>
      <c r="CH13" s="20"/>
      <c r="CI13" s="18"/>
      <c r="CL13" s="18"/>
      <c r="CM13" s="18"/>
      <c r="CN13" s="19" t="s">
        <v>57</v>
      </c>
      <c r="CO13" s="19"/>
      <c r="CP13" s="41">
        <v>1</v>
      </c>
      <c r="CQ13" s="18"/>
      <c r="CR13" s="18"/>
      <c r="CS13" s="18"/>
      <c r="CT13" s="18"/>
      <c r="CU13" s="18"/>
      <c r="CV13" s="127" t="str">
        <f>IF(CU11&gt;0,"YOU HAVE NOT USED ALL OF YOUR POINTS YET","")</f>
        <v/>
      </c>
      <c r="CW13" s="127"/>
      <c r="CX13" s="127"/>
      <c r="CY13" s="127"/>
      <c r="CZ13" s="20"/>
      <c r="DA13" s="18"/>
      <c r="DD13" s="4"/>
      <c r="DE13" s="4"/>
      <c r="DF13" s="15" t="s">
        <v>67</v>
      </c>
      <c r="DG13" s="15"/>
      <c r="DH13" s="41">
        <v>1</v>
      </c>
      <c r="DI13" s="4"/>
      <c r="DJ13" s="4"/>
      <c r="DK13" s="4"/>
      <c r="DL13" s="4"/>
      <c r="DM13" s="4"/>
      <c r="DN13" s="127" t="str">
        <f>IF(DM11&gt;0,"YOU HAVE NOT USED ALL OF YOUR POINTS YET","")</f>
        <v/>
      </c>
      <c r="DO13" s="127"/>
      <c r="DP13" s="127"/>
      <c r="DQ13" s="127"/>
      <c r="DR13" s="21"/>
      <c r="DS13" s="4"/>
      <c r="DW13" s="27"/>
      <c r="DX13" s="56" t="s">
        <v>78</v>
      </c>
      <c r="DY13" s="56"/>
      <c r="DZ13" s="81">
        <f>BX13</f>
        <v>2</v>
      </c>
      <c r="EA13" s="81">
        <f>BX19</f>
        <v>1</v>
      </c>
      <c r="EB13" s="81">
        <f>BX21</f>
        <v>1</v>
      </c>
      <c r="EC13" s="81">
        <f>BX9</f>
        <v>1</v>
      </c>
      <c r="ED13" s="81">
        <f>BX17</f>
        <v>1</v>
      </c>
      <c r="EE13" s="81">
        <f>BX5</f>
        <v>1</v>
      </c>
      <c r="EF13" s="81">
        <f>BX15</f>
        <v>1</v>
      </c>
      <c r="EG13" s="81">
        <f>BX11</f>
        <v>1</v>
      </c>
      <c r="EH13" s="81">
        <f>BX7</f>
        <v>1</v>
      </c>
      <c r="EI13" s="59"/>
      <c r="EJ13" s="61"/>
      <c r="EK13" s="62" t="s">
        <v>86</v>
      </c>
      <c r="EL13" s="63"/>
      <c r="EM13" s="64">
        <f>ED19</f>
        <v>7</v>
      </c>
      <c r="EN13" s="65"/>
      <c r="EO13" s="26"/>
      <c r="EU13" s="54" t="str">
        <f>EK21</f>
        <v>Specialist</v>
      </c>
      <c r="EV13" s="54">
        <f>EM21</f>
        <v>6</v>
      </c>
    </row>
    <row r="14" spans="1:194" ht="4.95" customHeight="1" thickTop="1" thickBot="1" x14ac:dyDescent="0.35">
      <c r="J14" s="4"/>
      <c r="K14" s="4"/>
      <c r="L14" s="4"/>
      <c r="M14" s="4"/>
      <c r="S14" s="4"/>
      <c r="T14" s="15"/>
      <c r="U14" s="15"/>
      <c r="V14" s="2"/>
      <c r="W14" s="4"/>
      <c r="X14" s="4"/>
      <c r="Y14" s="4"/>
      <c r="Z14" s="4"/>
      <c r="AA14" s="4"/>
      <c r="AB14" s="4"/>
      <c r="AC14" s="4"/>
      <c r="AD14" s="4"/>
      <c r="AE14" s="4"/>
      <c r="AF14" s="21"/>
      <c r="AG14" s="4"/>
      <c r="AJ14" s="4"/>
      <c r="AK14" s="4"/>
      <c r="AL14" s="15"/>
      <c r="AM14" s="15"/>
      <c r="AN14" s="2"/>
      <c r="AO14" s="4"/>
      <c r="AP14" s="4"/>
      <c r="AQ14" s="4"/>
      <c r="AR14" s="4"/>
      <c r="AS14" s="4"/>
      <c r="AT14" s="4"/>
      <c r="AU14" s="4"/>
      <c r="AV14" s="4"/>
      <c r="AW14" s="4"/>
      <c r="AX14" s="21"/>
      <c r="AY14" s="4"/>
      <c r="BB14" s="4"/>
      <c r="BC14" s="4"/>
      <c r="BD14" s="15"/>
      <c r="BE14" s="15"/>
      <c r="BF14" s="2"/>
      <c r="BG14" s="4"/>
      <c r="BH14" s="4"/>
      <c r="BI14" s="4"/>
      <c r="BJ14" s="4"/>
      <c r="BK14" s="4"/>
      <c r="BL14" s="4"/>
      <c r="BM14" s="4"/>
      <c r="BN14" s="4"/>
      <c r="BO14" s="4"/>
      <c r="BP14" s="21"/>
      <c r="BQ14" s="4"/>
      <c r="BT14" s="4"/>
      <c r="BU14" s="4"/>
      <c r="BV14" s="15"/>
      <c r="BW14" s="15"/>
      <c r="BX14" s="2"/>
      <c r="BY14" s="4"/>
      <c r="BZ14" s="4"/>
      <c r="CA14" s="4"/>
      <c r="CB14" s="4"/>
      <c r="CC14" s="4"/>
      <c r="CD14" s="4"/>
      <c r="CE14" s="4"/>
      <c r="CF14" s="4"/>
      <c r="CG14" s="4"/>
      <c r="CH14" s="21"/>
      <c r="CI14" s="4"/>
      <c r="CL14" s="4"/>
      <c r="CM14" s="4"/>
      <c r="CN14" s="15"/>
      <c r="CO14" s="15"/>
      <c r="CP14" s="2"/>
      <c r="CQ14" s="4"/>
      <c r="CR14" s="4"/>
      <c r="CS14" s="4"/>
      <c r="CT14" s="4"/>
      <c r="CU14" s="4"/>
      <c r="CV14" s="4"/>
      <c r="CW14" s="4"/>
      <c r="CX14" s="4"/>
      <c r="CY14" s="4"/>
      <c r="CZ14" s="21"/>
      <c r="DA14" s="4"/>
      <c r="DD14" s="4"/>
      <c r="DE14" s="4"/>
      <c r="DF14" s="15"/>
      <c r="DG14" s="15"/>
      <c r="DH14" s="2"/>
      <c r="DI14" s="4"/>
      <c r="DJ14" s="4"/>
      <c r="DK14" s="4"/>
      <c r="DL14" s="4"/>
      <c r="DM14" s="4"/>
      <c r="DN14" s="4"/>
      <c r="DO14" s="4"/>
      <c r="DP14" s="4"/>
      <c r="DQ14" s="4"/>
      <c r="DR14" s="21"/>
      <c r="DS14" s="4"/>
      <c r="DW14" s="27"/>
      <c r="DX14" s="66"/>
      <c r="DY14" s="66"/>
      <c r="DZ14" s="66"/>
      <c r="EA14" s="66"/>
      <c r="EB14" s="66"/>
      <c r="EC14" s="66"/>
      <c r="ED14" s="66"/>
      <c r="EE14" s="66"/>
      <c r="EF14" s="66"/>
      <c r="EG14" s="66"/>
      <c r="EH14" s="66"/>
      <c r="EI14" s="59"/>
      <c r="EJ14" s="58"/>
      <c r="EK14" s="67"/>
      <c r="EL14" s="58"/>
      <c r="EM14" s="64"/>
      <c r="EN14" s="68"/>
      <c r="EO14" s="25"/>
      <c r="GL14" s="17"/>
    </row>
    <row r="15" spans="1:194" s="17" customFormat="1" ht="31.95" customHeight="1" thickTop="1" thickBot="1" x14ac:dyDescent="0.35">
      <c r="B15" s="16" t="s">
        <v>8</v>
      </c>
      <c r="C15" s="16"/>
      <c r="D15" s="41">
        <v>1</v>
      </c>
      <c r="J15" s="124" t="str">
        <f>IF(I11=0,"THANK YOU, YOU MAY CONTINUE","")</f>
        <v>THANK YOU, YOU MAY CONTINUE</v>
      </c>
      <c r="K15" s="124"/>
      <c r="L15" s="124"/>
      <c r="M15" s="124"/>
      <c r="S15" s="18"/>
      <c r="T15" s="19" t="s">
        <v>18</v>
      </c>
      <c r="U15" s="19"/>
      <c r="V15" s="41">
        <v>1</v>
      </c>
      <c r="W15" s="18"/>
      <c r="X15" s="18"/>
      <c r="Y15" s="18"/>
      <c r="Z15" s="18"/>
      <c r="AA15" s="18"/>
      <c r="AB15" s="124" t="str">
        <f>IF(AA11=0,"THANK YOU, YOU MAY CONTINUE","")</f>
        <v>THANK YOU, YOU MAY CONTINUE</v>
      </c>
      <c r="AC15" s="124"/>
      <c r="AD15" s="124"/>
      <c r="AE15" s="124"/>
      <c r="AF15" s="20"/>
      <c r="AG15" s="18"/>
      <c r="AJ15" s="18"/>
      <c r="AK15" s="18"/>
      <c r="AL15" s="19" t="s">
        <v>28</v>
      </c>
      <c r="AM15" s="19"/>
      <c r="AN15" s="41">
        <v>2</v>
      </c>
      <c r="AO15" s="18"/>
      <c r="AP15" s="18"/>
      <c r="AQ15" s="18"/>
      <c r="AR15" s="18"/>
      <c r="AS15" s="18"/>
      <c r="AT15" s="124" t="str">
        <f>IF(AS11=0,"THANK YOU, YOU MAY CONTINUE","")</f>
        <v>THANK YOU, YOU MAY CONTINUE</v>
      </c>
      <c r="AU15" s="124"/>
      <c r="AV15" s="124"/>
      <c r="AW15" s="124"/>
      <c r="AX15" s="20"/>
      <c r="AY15" s="18"/>
      <c r="BB15" s="18"/>
      <c r="BC15" s="18"/>
      <c r="BD15" s="19" t="s">
        <v>38</v>
      </c>
      <c r="BE15" s="19"/>
      <c r="BF15" s="41">
        <v>2</v>
      </c>
      <c r="BG15" s="18"/>
      <c r="BH15" s="18"/>
      <c r="BI15" s="18"/>
      <c r="BJ15" s="18"/>
      <c r="BK15" s="18"/>
      <c r="BL15" s="124" t="str">
        <f>IF(BK11=0,"THANK YOU, YOU MAY CONTINUE","")</f>
        <v>THANK YOU, YOU MAY CONTINUE</v>
      </c>
      <c r="BM15" s="124"/>
      <c r="BN15" s="124"/>
      <c r="BO15" s="124"/>
      <c r="BP15" s="20"/>
      <c r="BQ15" s="18"/>
      <c r="BT15" s="18"/>
      <c r="BU15" s="18"/>
      <c r="BV15" s="19" t="s">
        <v>48</v>
      </c>
      <c r="BW15" s="19"/>
      <c r="BX15" s="41">
        <v>1</v>
      </c>
      <c r="BY15" s="18"/>
      <c r="BZ15" s="18"/>
      <c r="CA15" s="18"/>
      <c r="CB15" s="18"/>
      <c r="CC15" s="18"/>
      <c r="CD15" s="124" t="str">
        <f>IF(CC11=0,"THANK YOU, YOU MAY CONTINUE","")</f>
        <v>THANK YOU, YOU MAY CONTINUE</v>
      </c>
      <c r="CE15" s="124"/>
      <c r="CF15" s="124"/>
      <c r="CG15" s="124"/>
      <c r="CH15" s="20"/>
      <c r="CI15" s="18"/>
      <c r="CL15" s="18"/>
      <c r="CM15" s="18"/>
      <c r="CN15" s="19" t="s">
        <v>58</v>
      </c>
      <c r="CO15" s="19"/>
      <c r="CP15" s="41">
        <v>1</v>
      </c>
      <c r="CQ15" s="18"/>
      <c r="CR15" s="18"/>
      <c r="CS15" s="18"/>
      <c r="CT15" s="18"/>
      <c r="CU15" s="18"/>
      <c r="CV15" s="124" t="str">
        <f>IF(CU11=0,"THANK YOU, YOU MAY CONTINUE","")</f>
        <v>THANK YOU, YOU MAY CONTINUE</v>
      </c>
      <c r="CW15" s="124"/>
      <c r="CX15" s="124"/>
      <c r="CY15" s="124"/>
      <c r="CZ15" s="20"/>
      <c r="DA15" s="18"/>
      <c r="DD15" s="4"/>
      <c r="DE15" s="4"/>
      <c r="DF15" s="15" t="s">
        <v>68</v>
      </c>
      <c r="DG15" s="15"/>
      <c r="DH15" s="41">
        <v>1</v>
      </c>
      <c r="DI15" s="4"/>
      <c r="DJ15" s="4"/>
      <c r="DK15" s="4"/>
      <c r="DL15" s="4"/>
      <c r="DM15" s="4"/>
      <c r="DN15" s="124" t="str">
        <f>IF(DM11=0,"THANK YOU, YOU MAY CONTINUE","")</f>
        <v>THANK YOU, YOU MAY CONTINUE</v>
      </c>
      <c r="DO15" s="124"/>
      <c r="DP15" s="124"/>
      <c r="DQ15" s="124"/>
      <c r="DR15" s="21"/>
      <c r="DS15" s="4"/>
      <c r="DX15" s="56" t="s">
        <v>79</v>
      </c>
      <c r="DY15" s="56"/>
      <c r="DZ15" s="81">
        <f>CP7</f>
        <v>1</v>
      </c>
      <c r="EA15" s="81">
        <f>CP13</f>
        <v>1</v>
      </c>
      <c r="EB15" s="81">
        <f>CP17</f>
        <v>1</v>
      </c>
      <c r="EC15" s="81">
        <f>CP15</f>
        <v>1</v>
      </c>
      <c r="ED15" s="81">
        <f>CP9</f>
        <v>1</v>
      </c>
      <c r="EE15" s="81">
        <f>CP11</f>
        <v>1</v>
      </c>
      <c r="EF15" s="81">
        <f>CP21</f>
        <v>2</v>
      </c>
      <c r="EG15" s="81">
        <f>CP19</f>
        <v>1</v>
      </c>
      <c r="EH15" s="81">
        <f>CP5</f>
        <v>1</v>
      </c>
      <c r="EI15" s="59"/>
      <c r="EJ15" s="61"/>
      <c r="EK15" s="74" t="s">
        <v>87</v>
      </c>
      <c r="EL15" s="75"/>
      <c r="EM15" s="64">
        <f>EE19</f>
        <v>7</v>
      </c>
      <c r="EN15" s="65"/>
      <c r="EO15" s="26"/>
    </row>
    <row r="16" spans="1:194" ht="4.95" customHeight="1" thickTop="1" thickBot="1" x14ac:dyDescent="0.35">
      <c r="J16" s="4"/>
      <c r="K16" s="4"/>
      <c r="L16" s="4"/>
      <c r="M16" s="4"/>
      <c r="S16" s="4"/>
      <c r="T16" s="15"/>
      <c r="U16" s="15"/>
      <c r="V16" s="2"/>
      <c r="W16" s="4"/>
      <c r="X16" s="4"/>
      <c r="Y16" s="4"/>
      <c r="Z16" s="4"/>
      <c r="AA16" s="4"/>
      <c r="AB16" s="4"/>
      <c r="AC16" s="4"/>
      <c r="AD16" s="4"/>
      <c r="AE16" s="4"/>
      <c r="AF16" s="21"/>
      <c r="AG16" s="4"/>
      <c r="AJ16" s="4"/>
      <c r="AK16" s="4"/>
      <c r="AL16" s="15"/>
      <c r="AM16" s="15"/>
      <c r="AN16" s="2"/>
      <c r="AO16" s="4"/>
      <c r="AP16" s="4"/>
      <c r="AQ16" s="4"/>
      <c r="AR16" s="4"/>
      <c r="AS16" s="4"/>
      <c r="AT16" s="4"/>
      <c r="AU16" s="4"/>
      <c r="AV16" s="4"/>
      <c r="AW16" s="4"/>
      <c r="AX16" s="21"/>
      <c r="AY16" s="4"/>
      <c r="BB16" s="4"/>
      <c r="BC16" s="4"/>
      <c r="BD16" s="15"/>
      <c r="BE16" s="15"/>
      <c r="BF16" s="2"/>
      <c r="BG16" s="4"/>
      <c r="BH16" s="4"/>
      <c r="BI16" s="4"/>
      <c r="BJ16" s="4"/>
      <c r="BK16" s="4"/>
      <c r="BL16" s="4"/>
      <c r="BM16" s="4"/>
      <c r="BN16" s="4"/>
      <c r="BO16" s="4"/>
      <c r="BP16" s="21"/>
      <c r="BQ16" s="4"/>
      <c r="BT16" s="4"/>
      <c r="BU16" s="4"/>
      <c r="BV16" s="15"/>
      <c r="BW16" s="15"/>
      <c r="BX16" s="2"/>
      <c r="BY16" s="4"/>
      <c r="BZ16" s="4"/>
      <c r="CA16" s="4"/>
      <c r="CB16" s="4"/>
      <c r="CC16" s="4"/>
      <c r="CD16" s="4"/>
      <c r="CE16" s="4"/>
      <c r="CF16" s="4"/>
      <c r="CG16" s="4"/>
      <c r="CH16" s="21"/>
      <c r="CI16" s="4"/>
      <c r="CL16" s="4"/>
      <c r="CM16" s="4"/>
      <c r="CN16" s="15"/>
      <c r="CO16" s="15"/>
      <c r="CP16" s="2"/>
      <c r="CQ16" s="4"/>
      <c r="CR16" s="4"/>
      <c r="CS16" s="4"/>
      <c r="CT16" s="4"/>
      <c r="CU16" s="4"/>
      <c r="CV16" s="4"/>
      <c r="CW16" s="4"/>
      <c r="CX16" s="4"/>
      <c r="CY16" s="4"/>
      <c r="CZ16" s="21"/>
      <c r="DA16" s="4"/>
      <c r="DD16" s="4"/>
      <c r="DE16" s="4"/>
      <c r="DF16" s="15"/>
      <c r="DG16" s="15"/>
      <c r="DH16" s="2"/>
      <c r="DI16" s="4"/>
      <c r="DJ16" s="4"/>
      <c r="DK16" s="4"/>
      <c r="DL16" s="4"/>
      <c r="DM16" s="4"/>
      <c r="DN16" s="4"/>
      <c r="DO16" s="4"/>
      <c r="DP16" s="4"/>
      <c r="DQ16" s="4"/>
      <c r="DR16" s="21"/>
      <c r="DS16" s="4"/>
      <c r="DX16" s="66"/>
      <c r="DY16" s="66"/>
      <c r="DZ16" s="66"/>
      <c r="EA16" s="66"/>
      <c r="EB16" s="66"/>
      <c r="EC16" s="66"/>
      <c r="ED16" s="66"/>
      <c r="EE16" s="66"/>
      <c r="EF16" s="66"/>
      <c r="EG16" s="66"/>
      <c r="EH16" s="66"/>
      <c r="EI16" s="59"/>
      <c r="EJ16" s="58"/>
      <c r="EK16" s="67"/>
      <c r="EL16" s="58"/>
      <c r="EM16" s="64"/>
      <c r="EN16" s="68"/>
      <c r="EO16" s="25"/>
      <c r="GL16" s="17"/>
    </row>
    <row r="17" spans="2:194" s="17" customFormat="1" ht="31.95" customHeight="1" thickTop="1" thickBot="1" x14ac:dyDescent="0.35">
      <c r="B17" s="16" t="s">
        <v>9</v>
      </c>
      <c r="C17" s="16"/>
      <c r="D17" s="41">
        <v>1</v>
      </c>
      <c r="J17" s="124"/>
      <c r="K17" s="124"/>
      <c r="L17" s="124"/>
      <c r="M17" s="124"/>
      <c r="S17" s="18"/>
      <c r="T17" s="19" t="s">
        <v>19</v>
      </c>
      <c r="U17" s="19"/>
      <c r="V17" s="41">
        <v>1</v>
      </c>
      <c r="W17" s="18"/>
      <c r="X17" s="18"/>
      <c r="Y17" s="18"/>
      <c r="Z17" s="18"/>
      <c r="AA17" s="18"/>
      <c r="AB17" s="124"/>
      <c r="AC17" s="124"/>
      <c r="AD17" s="124"/>
      <c r="AE17" s="124"/>
      <c r="AF17" s="20"/>
      <c r="AG17" s="18"/>
      <c r="AJ17" s="18"/>
      <c r="AK17" s="18"/>
      <c r="AL17" s="19" t="s">
        <v>29</v>
      </c>
      <c r="AM17" s="19"/>
      <c r="AN17" s="41">
        <v>1</v>
      </c>
      <c r="AO17" s="18"/>
      <c r="AP17" s="18"/>
      <c r="AQ17" s="18"/>
      <c r="AR17" s="18"/>
      <c r="AS17" s="18"/>
      <c r="AT17" s="124"/>
      <c r="AU17" s="124"/>
      <c r="AV17" s="124"/>
      <c r="AW17" s="124"/>
      <c r="AX17" s="20"/>
      <c r="AY17" s="18"/>
      <c r="BB17" s="18"/>
      <c r="BC17" s="18"/>
      <c r="BD17" s="19" t="s">
        <v>39</v>
      </c>
      <c r="BE17" s="19"/>
      <c r="BF17" s="41">
        <v>1</v>
      </c>
      <c r="BG17" s="18"/>
      <c r="BH17" s="18"/>
      <c r="BI17" s="18"/>
      <c r="BJ17" s="18"/>
      <c r="BK17" s="18"/>
      <c r="BL17" s="124"/>
      <c r="BM17" s="124"/>
      <c r="BN17" s="124"/>
      <c r="BO17" s="124"/>
      <c r="BP17" s="20"/>
      <c r="BQ17" s="18"/>
      <c r="BT17" s="18"/>
      <c r="BU17" s="18"/>
      <c r="BV17" s="19" t="s">
        <v>49</v>
      </c>
      <c r="BW17" s="19"/>
      <c r="BX17" s="41">
        <v>1</v>
      </c>
      <c r="BY17" s="18"/>
      <c r="BZ17" s="18"/>
      <c r="CA17" s="18"/>
      <c r="CB17" s="18"/>
      <c r="CC17" s="18"/>
      <c r="CD17" s="124"/>
      <c r="CE17" s="124"/>
      <c r="CF17" s="124"/>
      <c r="CG17" s="124"/>
      <c r="CH17" s="20"/>
      <c r="CI17" s="18"/>
      <c r="CL17" s="18"/>
      <c r="CM17" s="18"/>
      <c r="CN17" s="19" t="s">
        <v>59</v>
      </c>
      <c r="CO17" s="19"/>
      <c r="CP17" s="41">
        <v>1</v>
      </c>
      <c r="CQ17" s="18"/>
      <c r="CR17" s="18"/>
      <c r="CS17" s="18"/>
      <c r="CT17" s="18"/>
      <c r="CU17" s="18"/>
      <c r="CV17" s="124"/>
      <c r="CW17" s="124"/>
      <c r="CX17" s="124"/>
      <c r="CY17" s="124"/>
      <c r="CZ17" s="20"/>
      <c r="DA17" s="18"/>
      <c r="DD17" s="4"/>
      <c r="DE17" s="4"/>
      <c r="DF17" s="15" t="s">
        <v>69</v>
      </c>
      <c r="DG17" s="15"/>
      <c r="DH17" s="41">
        <v>1</v>
      </c>
      <c r="DI17" s="4"/>
      <c r="DJ17" s="4"/>
      <c r="DK17" s="4"/>
      <c r="DL17" s="4"/>
      <c r="DM17" s="4"/>
      <c r="DR17" s="21"/>
      <c r="DS17" s="4"/>
      <c r="DX17" s="56" t="s">
        <v>80</v>
      </c>
      <c r="DY17" s="56"/>
      <c r="DZ17" s="81">
        <f>DH19</f>
        <v>2</v>
      </c>
      <c r="EA17" s="81">
        <f>DH11</f>
        <v>1</v>
      </c>
      <c r="EB17" s="81">
        <f>DH5</f>
        <v>1</v>
      </c>
      <c r="EC17" s="81">
        <f>DH21</f>
        <v>1</v>
      </c>
      <c r="ED17" s="81">
        <f>DH13</f>
        <v>1</v>
      </c>
      <c r="EE17" s="81">
        <f>DH17</f>
        <v>1</v>
      </c>
      <c r="EF17" s="81">
        <f>DH7</f>
        <v>1</v>
      </c>
      <c r="EG17" s="81">
        <f>DH15</f>
        <v>1</v>
      </c>
      <c r="EH17" s="81">
        <f>DH9</f>
        <v>1</v>
      </c>
      <c r="EI17" s="59"/>
      <c r="EJ17" s="61"/>
      <c r="EK17" s="62" t="s">
        <v>88</v>
      </c>
      <c r="EL17" s="63"/>
      <c r="EM17" s="64">
        <f>EF19</f>
        <v>9</v>
      </c>
      <c r="EN17" s="65"/>
      <c r="EO17" s="26"/>
    </row>
    <row r="18" spans="2:194" ht="4.95" customHeight="1" thickTop="1" thickBot="1" x14ac:dyDescent="0.35">
      <c r="S18" s="4"/>
      <c r="T18" s="15"/>
      <c r="U18" s="15"/>
      <c r="V18" s="2"/>
      <c r="W18" s="4"/>
      <c r="X18" s="4"/>
      <c r="Y18" s="4"/>
      <c r="Z18" s="4"/>
      <c r="AA18" s="4"/>
      <c r="AB18" s="4"/>
      <c r="AC18" s="4"/>
      <c r="AD18" s="4"/>
      <c r="AE18" s="4"/>
      <c r="AF18" s="4"/>
      <c r="AG18" s="4"/>
      <c r="AJ18" s="4"/>
      <c r="AK18" s="4"/>
      <c r="AL18" s="15"/>
      <c r="AM18" s="15"/>
      <c r="AN18" s="2"/>
      <c r="AO18" s="4"/>
      <c r="AP18" s="4"/>
      <c r="AQ18" s="4"/>
      <c r="AR18" s="4"/>
      <c r="AS18" s="4"/>
      <c r="AT18" s="4"/>
      <c r="AU18" s="4"/>
      <c r="AV18" s="4"/>
      <c r="AW18" s="4"/>
      <c r="AX18" s="4"/>
      <c r="AY18" s="4"/>
      <c r="BB18" s="4"/>
      <c r="BC18" s="4"/>
      <c r="BD18" s="15"/>
      <c r="BE18" s="15"/>
      <c r="BF18" s="2"/>
      <c r="BG18" s="4"/>
      <c r="BH18" s="4"/>
      <c r="BI18" s="4"/>
      <c r="BJ18" s="4"/>
      <c r="BK18" s="4"/>
      <c r="BL18" s="4"/>
      <c r="BM18" s="4"/>
      <c r="BN18" s="4"/>
      <c r="BO18" s="4"/>
      <c r="BP18" s="4"/>
      <c r="BQ18" s="4"/>
      <c r="BT18" s="4"/>
      <c r="BU18" s="4"/>
      <c r="BV18" s="15"/>
      <c r="BW18" s="15"/>
      <c r="BX18" s="2"/>
      <c r="BY18" s="4"/>
      <c r="BZ18" s="4"/>
      <c r="CA18" s="4"/>
      <c r="CB18" s="4"/>
      <c r="CC18" s="4"/>
      <c r="CD18" s="4"/>
      <c r="CE18" s="4"/>
      <c r="CF18" s="4"/>
      <c r="CG18" s="4"/>
      <c r="CH18" s="4"/>
      <c r="CI18" s="4"/>
      <c r="CL18" s="4"/>
      <c r="CM18" s="4"/>
      <c r="CN18" s="15"/>
      <c r="CO18" s="15"/>
      <c r="CP18" s="2"/>
      <c r="CQ18" s="4"/>
      <c r="CR18" s="4"/>
      <c r="CS18" s="4"/>
      <c r="CT18" s="4"/>
      <c r="CU18" s="4"/>
      <c r="CV18" s="4"/>
      <c r="CW18" s="4"/>
      <c r="CX18" s="4"/>
      <c r="CY18" s="4"/>
      <c r="CZ18" s="4"/>
      <c r="DA18" s="4"/>
      <c r="DD18" s="4"/>
      <c r="DE18" s="4"/>
      <c r="DF18" s="15"/>
      <c r="DG18" s="15"/>
      <c r="DH18" s="2"/>
      <c r="DI18" s="4"/>
      <c r="DJ18" s="4"/>
      <c r="DK18" s="4"/>
      <c r="DL18" s="4"/>
      <c r="DM18" s="4"/>
      <c r="DN18" s="4"/>
      <c r="DO18" s="4"/>
      <c r="DP18" s="4"/>
      <c r="DQ18" s="4"/>
      <c r="DR18" s="4"/>
      <c r="DS18" s="4"/>
      <c r="DX18" s="66"/>
      <c r="DY18" s="56"/>
      <c r="DZ18" s="66"/>
      <c r="EA18" s="66"/>
      <c r="EB18" s="66"/>
      <c r="EC18" s="66"/>
      <c r="ED18" s="66"/>
      <c r="EE18" s="66"/>
      <c r="EF18" s="66"/>
      <c r="EG18" s="66"/>
      <c r="EH18" s="66"/>
      <c r="EI18" s="59"/>
      <c r="EJ18" s="58"/>
      <c r="EK18" s="67"/>
      <c r="EL18" s="58"/>
      <c r="EM18" s="64"/>
      <c r="EN18" s="68"/>
      <c r="EO18" s="25"/>
      <c r="GL18" s="17"/>
    </row>
    <row r="19" spans="2:194" s="17" customFormat="1" ht="31.95" customHeight="1" thickTop="1" thickBot="1" x14ac:dyDescent="0.35">
      <c r="B19" s="16" t="s">
        <v>10</v>
      </c>
      <c r="C19" s="16"/>
      <c r="D19" s="41">
        <v>1</v>
      </c>
      <c r="S19" s="18"/>
      <c r="T19" s="19" t="s">
        <v>20</v>
      </c>
      <c r="U19" s="19"/>
      <c r="V19" s="41">
        <v>0</v>
      </c>
      <c r="W19" s="18"/>
      <c r="X19" s="18"/>
      <c r="Y19" s="18"/>
      <c r="Z19" s="18"/>
      <c r="AA19" s="18"/>
      <c r="AB19" s="18"/>
      <c r="AC19" s="18"/>
      <c r="AD19" s="18"/>
      <c r="AE19" s="18"/>
      <c r="AF19" s="18"/>
      <c r="AG19" s="18"/>
      <c r="AJ19" s="18"/>
      <c r="AK19" s="18"/>
      <c r="AL19" s="19" t="s">
        <v>30</v>
      </c>
      <c r="AM19" s="19"/>
      <c r="AN19" s="41">
        <v>1</v>
      </c>
      <c r="AO19" s="18"/>
      <c r="AP19" s="18"/>
      <c r="AQ19" s="18"/>
      <c r="AR19" s="18"/>
      <c r="AS19" s="18"/>
      <c r="AT19" s="18"/>
      <c r="AU19" s="18"/>
      <c r="AV19" s="18"/>
      <c r="AW19" s="18"/>
      <c r="AX19" s="18"/>
      <c r="AY19" s="18"/>
      <c r="BB19" s="18"/>
      <c r="BC19" s="18"/>
      <c r="BD19" s="19" t="s">
        <v>40</v>
      </c>
      <c r="BE19" s="19"/>
      <c r="BF19" s="41">
        <v>1</v>
      </c>
      <c r="BG19" s="18"/>
      <c r="BH19" s="18"/>
      <c r="BI19" s="18"/>
      <c r="BJ19" s="18"/>
      <c r="BK19" s="18"/>
      <c r="BL19" s="18"/>
      <c r="BM19" s="18"/>
      <c r="BN19" s="18"/>
      <c r="BO19" s="18"/>
      <c r="BP19" s="18"/>
      <c r="BQ19" s="18"/>
      <c r="BT19" s="18"/>
      <c r="BU19" s="18"/>
      <c r="BV19" s="19" t="s">
        <v>50</v>
      </c>
      <c r="BW19" s="19"/>
      <c r="BX19" s="41">
        <v>1</v>
      </c>
      <c r="BY19" s="18"/>
      <c r="BZ19" s="18"/>
      <c r="CA19" s="18"/>
      <c r="CB19" s="18"/>
      <c r="CC19" s="18"/>
      <c r="CD19" s="18"/>
      <c r="CE19" s="18"/>
      <c r="CF19" s="18"/>
      <c r="CG19" s="18"/>
      <c r="CH19" s="18"/>
      <c r="CI19" s="18"/>
      <c r="CL19" s="18"/>
      <c r="CM19" s="18"/>
      <c r="CN19" s="19" t="s">
        <v>60</v>
      </c>
      <c r="CO19" s="19"/>
      <c r="CP19" s="41">
        <v>1</v>
      </c>
      <c r="CQ19" s="18"/>
      <c r="CR19" s="18"/>
      <c r="CS19" s="18"/>
      <c r="CT19" s="18"/>
      <c r="CU19" s="18"/>
      <c r="CV19" s="18"/>
      <c r="CW19" s="18"/>
      <c r="CX19" s="18"/>
      <c r="CY19" s="18"/>
      <c r="CZ19" s="18"/>
      <c r="DA19" s="18"/>
      <c r="DD19" s="4"/>
      <c r="DE19" s="4"/>
      <c r="DF19" s="15" t="s">
        <v>70</v>
      </c>
      <c r="DG19" s="15"/>
      <c r="DH19" s="41">
        <v>2</v>
      </c>
      <c r="DI19" s="4"/>
      <c r="DJ19" s="4"/>
      <c r="DK19" s="4"/>
      <c r="DL19" s="4"/>
      <c r="DM19" s="4"/>
      <c r="DN19" s="4"/>
      <c r="DO19" s="4"/>
      <c r="DP19" s="4"/>
      <c r="DQ19" s="4"/>
      <c r="DR19" s="4"/>
      <c r="DS19" s="4"/>
      <c r="DX19" s="76" t="s">
        <v>73</v>
      </c>
      <c r="DY19" s="77"/>
      <c r="DZ19" s="78">
        <f t="shared" ref="DZ19:EH19" si="0">SUM(DZ5:DZ17)</f>
        <v>11</v>
      </c>
      <c r="EA19" s="78">
        <f t="shared" si="0"/>
        <v>7</v>
      </c>
      <c r="EB19" s="78">
        <f t="shared" si="0"/>
        <v>6</v>
      </c>
      <c r="EC19" s="78">
        <f t="shared" si="0"/>
        <v>8</v>
      </c>
      <c r="ED19" s="78">
        <f t="shared" si="0"/>
        <v>7</v>
      </c>
      <c r="EE19" s="78">
        <f t="shared" si="0"/>
        <v>7</v>
      </c>
      <c r="EF19" s="78">
        <f t="shared" si="0"/>
        <v>9</v>
      </c>
      <c r="EG19" s="78">
        <f t="shared" si="0"/>
        <v>9</v>
      </c>
      <c r="EH19" s="79">
        <f t="shared" si="0"/>
        <v>6</v>
      </c>
      <c r="EI19" s="69" t="str">
        <f>IF(SUM(DZ19:EH19)=70,"OK","Checksum NOK")</f>
        <v>OK</v>
      </c>
      <c r="EJ19" s="61"/>
      <c r="EK19" s="74" t="s">
        <v>89</v>
      </c>
      <c r="EL19" s="75"/>
      <c r="EM19" s="64">
        <f>EG19</f>
        <v>9</v>
      </c>
      <c r="EN19" s="65"/>
      <c r="EO19" s="26"/>
    </row>
    <row r="20" spans="2:194" ht="4.95" customHeight="1" thickTop="1" thickBot="1" x14ac:dyDescent="0.35">
      <c r="S20" s="4"/>
      <c r="T20" s="15"/>
      <c r="U20" s="15"/>
      <c r="V20" s="2"/>
      <c r="W20" s="4"/>
      <c r="X20" s="4"/>
      <c r="Y20" s="4"/>
      <c r="Z20" s="4"/>
      <c r="AA20" s="4"/>
      <c r="AB20" s="4"/>
      <c r="AC20" s="4"/>
      <c r="AD20" s="4"/>
      <c r="AE20" s="4"/>
      <c r="AF20" s="4"/>
      <c r="AG20" s="4"/>
      <c r="AJ20" s="4"/>
      <c r="AK20" s="4"/>
      <c r="AL20" s="15"/>
      <c r="AM20" s="15"/>
      <c r="AN20" s="2"/>
      <c r="AO20" s="4"/>
      <c r="AP20" s="4"/>
      <c r="AQ20" s="4"/>
      <c r="AR20" s="4"/>
      <c r="AS20" s="4"/>
      <c r="AT20" s="4"/>
      <c r="AU20" s="4"/>
      <c r="AV20" s="4"/>
      <c r="AW20" s="4"/>
      <c r="AX20" s="4"/>
      <c r="AY20" s="4"/>
      <c r="BB20" s="4"/>
      <c r="BC20" s="4"/>
      <c r="BD20" s="15"/>
      <c r="BE20" s="15"/>
      <c r="BF20" s="2"/>
      <c r="BG20" s="4"/>
      <c r="BH20" s="4"/>
      <c r="BI20" s="4"/>
      <c r="BJ20" s="4"/>
      <c r="BK20" s="4"/>
      <c r="BL20" s="4"/>
      <c r="BM20" s="4"/>
      <c r="BN20" s="4"/>
      <c r="BO20" s="4"/>
      <c r="BP20" s="4"/>
      <c r="BQ20" s="4"/>
      <c r="BT20" s="4"/>
      <c r="BU20" s="4"/>
      <c r="BV20" s="15"/>
      <c r="BW20" s="15"/>
      <c r="BX20" s="2"/>
      <c r="BY20" s="4"/>
      <c r="BZ20" s="4"/>
      <c r="CA20" s="4"/>
      <c r="CB20" s="4"/>
      <c r="CC20" s="4"/>
      <c r="CD20" s="4"/>
      <c r="CE20" s="4"/>
      <c r="CF20" s="4"/>
      <c r="CG20" s="4"/>
      <c r="CH20" s="4"/>
      <c r="CI20" s="4"/>
      <c r="CL20" s="4"/>
      <c r="CM20" s="4"/>
      <c r="CN20" s="15"/>
      <c r="CO20" s="15"/>
      <c r="CP20" s="2"/>
      <c r="CQ20" s="4"/>
      <c r="CR20" s="4"/>
      <c r="CS20" s="4"/>
      <c r="CT20" s="4"/>
      <c r="CU20" s="4"/>
      <c r="CV20" s="4"/>
      <c r="CW20" s="4"/>
      <c r="CX20" s="4"/>
      <c r="CY20" s="4"/>
      <c r="CZ20" s="4"/>
      <c r="DA20" s="4"/>
      <c r="DD20" s="4"/>
      <c r="DE20" s="4"/>
      <c r="DF20" s="15"/>
      <c r="DG20" s="15"/>
      <c r="DH20" s="2"/>
      <c r="DI20" s="4"/>
      <c r="DJ20" s="4"/>
      <c r="DK20" s="4"/>
      <c r="DL20" s="4"/>
      <c r="DM20" s="4"/>
      <c r="DN20" s="4"/>
      <c r="DO20" s="4"/>
      <c r="DP20" s="4"/>
      <c r="DQ20" s="4"/>
      <c r="DR20" s="4"/>
      <c r="DS20" s="4"/>
      <c r="DX20" s="58"/>
      <c r="DY20" s="58"/>
      <c r="DZ20" s="58"/>
      <c r="EA20" s="58"/>
      <c r="EB20" s="70"/>
      <c r="EC20" s="70"/>
      <c r="ED20" s="70"/>
      <c r="EE20" s="70"/>
      <c r="EF20" s="70"/>
      <c r="EG20" s="70"/>
      <c r="EH20" s="70"/>
      <c r="EI20" s="59"/>
      <c r="EJ20" s="58"/>
      <c r="EK20" s="67"/>
      <c r="EL20" s="58"/>
      <c r="EM20" s="64"/>
      <c r="EN20" s="68"/>
      <c r="EO20" s="25"/>
      <c r="GL20" s="17"/>
    </row>
    <row r="21" spans="2:194" s="17" customFormat="1" ht="31.95" customHeight="1" thickTop="1" thickBot="1" x14ac:dyDescent="0.35">
      <c r="B21" s="16" t="s">
        <v>11</v>
      </c>
      <c r="C21" s="16"/>
      <c r="D21" s="41">
        <v>0</v>
      </c>
      <c r="S21" s="18"/>
      <c r="T21" s="19" t="s">
        <v>21</v>
      </c>
      <c r="U21" s="19"/>
      <c r="V21" s="41">
        <v>0</v>
      </c>
      <c r="W21" s="18"/>
      <c r="X21" s="18"/>
      <c r="Y21" s="18"/>
      <c r="Z21" s="18"/>
      <c r="AA21" s="18"/>
      <c r="AB21" s="18"/>
      <c r="AC21" s="18"/>
      <c r="AD21" s="18"/>
      <c r="AE21" s="18"/>
      <c r="AF21" s="18"/>
      <c r="AG21" s="18"/>
      <c r="AJ21" s="18"/>
      <c r="AK21" s="18"/>
      <c r="AL21" s="19" t="s">
        <v>31</v>
      </c>
      <c r="AM21" s="19"/>
      <c r="AN21" s="41">
        <v>1</v>
      </c>
      <c r="AO21" s="18"/>
      <c r="AP21" s="18"/>
      <c r="AQ21" s="18"/>
      <c r="AR21" s="18"/>
      <c r="AS21" s="18"/>
      <c r="AT21" s="18"/>
      <c r="AU21" s="18"/>
      <c r="AV21" s="18"/>
      <c r="AW21" s="18"/>
      <c r="AX21" s="18"/>
      <c r="AY21" s="18"/>
      <c r="BB21" s="18"/>
      <c r="BC21" s="18"/>
      <c r="BD21" s="19" t="s">
        <v>41</v>
      </c>
      <c r="BE21" s="19"/>
      <c r="BF21" s="41">
        <v>1</v>
      </c>
      <c r="BG21" s="18"/>
      <c r="BH21" s="18"/>
      <c r="BI21" s="18"/>
      <c r="BJ21" s="18"/>
      <c r="BK21" s="18"/>
      <c r="BL21" s="18"/>
      <c r="BM21" s="18"/>
      <c r="BN21" s="18"/>
      <c r="BO21" s="18"/>
      <c r="BP21" s="18"/>
      <c r="BQ21" s="18"/>
      <c r="BT21" s="18"/>
      <c r="BU21" s="18"/>
      <c r="BV21" s="19" t="s">
        <v>51</v>
      </c>
      <c r="BW21" s="19"/>
      <c r="BX21" s="41">
        <v>1</v>
      </c>
      <c r="BY21" s="18"/>
      <c r="BZ21" s="18"/>
      <c r="CA21" s="18"/>
      <c r="CB21" s="18"/>
      <c r="CC21" s="18"/>
      <c r="CD21" s="18"/>
      <c r="CE21" s="18"/>
      <c r="CF21" s="18"/>
      <c r="CG21" s="18"/>
      <c r="CH21" s="18"/>
      <c r="CI21" s="18"/>
      <c r="CL21" s="18"/>
      <c r="CM21" s="18"/>
      <c r="CN21" s="19" t="s">
        <v>61</v>
      </c>
      <c r="CO21" s="19"/>
      <c r="CP21" s="41">
        <v>2</v>
      </c>
      <c r="CQ21" s="18"/>
      <c r="CR21" s="18"/>
      <c r="CS21" s="18"/>
      <c r="CT21" s="18"/>
      <c r="CU21" s="18"/>
      <c r="CV21" s="18"/>
      <c r="CW21" s="18"/>
      <c r="CX21" s="18"/>
      <c r="CY21" s="18"/>
      <c r="CZ21" s="18"/>
      <c r="DA21" s="18"/>
      <c r="DD21" s="4"/>
      <c r="DE21" s="4"/>
      <c r="DF21" s="15" t="s">
        <v>71</v>
      </c>
      <c r="DG21" s="15"/>
      <c r="DH21" s="41">
        <v>1</v>
      </c>
      <c r="DI21" s="4"/>
      <c r="DJ21" s="4"/>
      <c r="DK21" s="4"/>
      <c r="DL21" s="4"/>
      <c r="DM21" s="4"/>
      <c r="DN21" s="4"/>
      <c r="DO21" s="4"/>
      <c r="DP21" s="4"/>
      <c r="DQ21" s="4"/>
      <c r="DR21" s="4"/>
      <c r="DS21" s="4"/>
      <c r="DX21" s="56" t="s">
        <v>91</v>
      </c>
      <c r="DY21" s="55"/>
      <c r="DZ21" s="55"/>
      <c r="EA21" s="55"/>
      <c r="EB21" s="70"/>
      <c r="EC21" s="70"/>
      <c r="ED21" s="70"/>
      <c r="EE21" s="70"/>
      <c r="EF21" s="70"/>
      <c r="EG21" s="70"/>
      <c r="EH21" s="70"/>
      <c r="EI21" s="59"/>
      <c r="EJ21" s="61"/>
      <c r="EK21" s="62" t="s">
        <v>90</v>
      </c>
      <c r="EL21" s="63"/>
      <c r="EM21" s="64">
        <f>EH19</f>
        <v>6</v>
      </c>
      <c r="EN21" s="65"/>
      <c r="EO21" s="26"/>
    </row>
    <row r="22" spans="2:194" ht="4.95" customHeight="1" thickTop="1" x14ac:dyDescent="0.3">
      <c r="D22" s="42"/>
      <c r="V22" s="42"/>
      <c r="AJ22" s="4"/>
      <c r="AK22" s="4"/>
      <c r="AL22" s="5"/>
      <c r="AM22" s="5"/>
      <c r="AN22" s="42"/>
      <c r="AO22" s="4"/>
      <c r="AP22" s="4"/>
      <c r="AQ22" s="4"/>
      <c r="AR22" s="4"/>
      <c r="AS22" s="4"/>
      <c r="AT22" s="4"/>
      <c r="AU22" s="4"/>
      <c r="AV22" s="4"/>
      <c r="AW22" s="4"/>
      <c r="AX22" s="4"/>
      <c r="AY22" s="4"/>
      <c r="BB22" s="4"/>
      <c r="BC22" s="4"/>
      <c r="BD22" s="5"/>
      <c r="BE22" s="5"/>
      <c r="BF22" s="42"/>
      <c r="BG22" s="4"/>
      <c r="BH22" s="4"/>
      <c r="BI22" s="4"/>
      <c r="BJ22" s="4"/>
      <c r="BK22" s="4"/>
      <c r="BL22" s="4"/>
      <c r="BM22" s="4"/>
      <c r="BN22" s="4"/>
      <c r="BO22" s="4"/>
      <c r="BP22" s="4"/>
      <c r="BQ22" s="4"/>
      <c r="BT22" s="4"/>
      <c r="BU22" s="4"/>
      <c r="BV22" s="5"/>
      <c r="BW22" s="5"/>
      <c r="BX22" s="42"/>
      <c r="BY22" s="4"/>
      <c r="BZ22" s="4"/>
      <c r="CA22" s="4"/>
      <c r="CB22" s="4"/>
      <c r="CC22" s="4"/>
      <c r="CD22" s="4"/>
      <c r="CE22" s="4"/>
      <c r="CF22" s="4"/>
      <c r="CG22" s="4"/>
      <c r="CH22" s="4"/>
      <c r="CI22" s="4"/>
      <c r="CL22" s="4"/>
      <c r="CM22" s="4"/>
      <c r="CN22" s="15"/>
      <c r="CO22" s="15"/>
      <c r="CP22" s="42"/>
      <c r="CQ22" s="4"/>
      <c r="CR22" s="4"/>
      <c r="CS22" s="4"/>
      <c r="CT22" s="4"/>
      <c r="CU22" s="4"/>
      <c r="CV22" s="4"/>
      <c r="CW22" s="4"/>
      <c r="CX22" s="4"/>
      <c r="CY22" s="4"/>
      <c r="CZ22" s="4"/>
      <c r="DA22" s="4"/>
      <c r="DD22" s="4"/>
      <c r="DE22" s="4"/>
      <c r="DF22" s="5"/>
      <c r="DG22" s="5"/>
      <c r="DH22" s="42"/>
      <c r="DI22" s="4"/>
      <c r="DJ22" s="4"/>
      <c r="DK22" s="4"/>
      <c r="DL22" s="4"/>
      <c r="DM22" s="4"/>
      <c r="DN22" s="4"/>
      <c r="DO22" s="4"/>
      <c r="DP22" s="4"/>
      <c r="DQ22" s="4"/>
      <c r="DR22" s="4"/>
      <c r="DS22" s="4"/>
      <c r="DX22" s="58"/>
      <c r="DY22" s="58"/>
      <c r="DZ22" s="58"/>
      <c r="EA22" s="70"/>
      <c r="EB22" s="70"/>
      <c r="EC22" s="70"/>
      <c r="ED22" s="70"/>
      <c r="EE22" s="70"/>
      <c r="EF22" s="70"/>
      <c r="EG22" s="70"/>
      <c r="EH22" s="70"/>
      <c r="EI22" s="59"/>
      <c r="EJ22" s="55"/>
      <c r="EK22" s="55"/>
      <c r="EL22" s="55"/>
      <c r="EM22" s="55"/>
      <c r="EN22" s="55"/>
      <c r="GL22" s="17"/>
    </row>
    <row r="23" spans="2:194" ht="12.75" customHeight="1" x14ac:dyDescent="0.3">
      <c r="F23" s="122"/>
      <c r="G23" s="122"/>
      <c r="H23" s="122"/>
      <c r="I23" s="122"/>
      <c r="J23" s="122"/>
      <c r="K23" s="122"/>
      <c r="L23" s="122"/>
      <c r="M23" s="122"/>
      <c r="N23" s="122"/>
      <c r="DX23" s="58"/>
      <c r="DY23" s="58"/>
      <c r="DZ23" s="58"/>
      <c r="EA23" s="71"/>
      <c r="EB23" s="70"/>
      <c r="EC23" s="70"/>
      <c r="ED23" s="70"/>
      <c r="EE23" s="70"/>
      <c r="EF23" s="70"/>
      <c r="EG23" s="70"/>
      <c r="EH23" s="70"/>
      <c r="EI23" s="59"/>
      <c r="EJ23" s="58"/>
      <c r="EK23" s="58"/>
      <c r="EL23" s="58"/>
      <c r="EM23" s="58"/>
      <c r="EN23" s="58"/>
      <c r="GL23" s="17"/>
    </row>
    <row r="24" spans="2:194" s="17" customFormat="1" ht="19.95" customHeight="1" x14ac:dyDescent="0.3">
      <c r="B24" s="16"/>
      <c r="C24" s="16"/>
      <c r="D24" s="2"/>
      <c r="F24" s="122"/>
      <c r="G24" s="122"/>
      <c r="H24" s="122"/>
      <c r="I24" s="122"/>
      <c r="J24" s="122"/>
      <c r="K24" s="122"/>
      <c r="L24" s="122"/>
      <c r="M24" s="122"/>
      <c r="N24" s="122"/>
      <c r="DX24" s="55"/>
      <c r="DY24" s="55"/>
      <c r="DZ24" s="55"/>
      <c r="EA24" s="55"/>
      <c r="EB24" s="72"/>
      <c r="EC24" s="72"/>
      <c r="ED24" s="72"/>
      <c r="EE24" s="72"/>
      <c r="EF24" s="72"/>
      <c r="EG24" s="72"/>
      <c r="EH24" s="72"/>
      <c r="EI24" s="62"/>
      <c r="EJ24" s="55"/>
      <c r="EK24" s="55"/>
      <c r="EL24" s="55"/>
      <c r="EM24" s="55"/>
      <c r="EN24" s="55"/>
    </row>
    <row r="25" spans="2:194" s="17" customFormat="1" ht="19.95" customHeight="1" x14ac:dyDescent="0.3">
      <c r="B25" s="16"/>
      <c r="C25" s="16"/>
      <c r="D25" s="2"/>
      <c r="F25" s="122"/>
      <c r="G25" s="122"/>
      <c r="H25" s="122"/>
      <c r="I25" s="122"/>
      <c r="J25" s="122"/>
      <c r="K25" s="122"/>
      <c r="L25" s="122"/>
      <c r="M25" s="122"/>
      <c r="N25" s="122"/>
      <c r="DX25" s="55"/>
      <c r="DY25" s="55"/>
      <c r="DZ25" s="55"/>
      <c r="EA25" s="55"/>
      <c r="EB25" s="72"/>
      <c r="EC25" s="72"/>
      <c r="ED25" s="72"/>
      <c r="EE25" s="72"/>
      <c r="EF25" s="72"/>
      <c r="EG25" s="72"/>
      <c r="EH25" s="72"/>
      <c r="EI25" s="62"/>
      <c r="EJ25" s="55"/>
      <c r="EK25" s="55"/>
      <c r="EL25" s="55"/>
      <c r="EM25" s="55"/>
      <c r="EN25" s="55"/>
    </row>
    <row r="26" spans="2:194" s="17" customFormat="1" ht="19.95" customHeight="1" x14ac:dyDescent="0.3">
      <c r="B26" s="16"/>
      <c r="C26" s="16"/>
      <c r="D26" s="2"/>
      <c r="DX26" s="55"/>
      <c r="DY26" s="55"/>
      <c r="DZ26" s="55"/>
      <c r="EA26" s="55"/>
      <c r="EB26" s="55"/>
      <c r="EC26" s="55"/>
      <c r="ED26" s="55"/>
      <c r="EE26" s="55"/>
      <c r="EF26" s="55"/>
      <c r="EG26" s="55"/>
      <c r="EH26" s="55"/>
      <c r="EI26" s="55"/>
      <c r="EJ26" s="55"/>
      <c r="EK26" s="55"/>
      <c r="EL26" s="55"/>
      <c r="EM26" s="55"/>
      <c r="EN26" s="55"/>
    </row>
    <row r="27" spans="2:194" s="17" customFormat="1" ht="19.95" customHeight="1" x14ac:dyDescent="0.3">
      <c r="B27" s="16"/>
      <c r="C27" s="16"/>
      <c r="D27" s="2"/>
      <c r="DX27" s="55"/>
      <c r="DY27" s="55"/>
      <c r="DZ27" s="55"/>
      <c r="EA27" s="55"/>
      <c r="EB27" s="55"/>
      <c r="EC27" s="55"/>
      <c r="ED27" s="55"/>
      <c r="EE27" s="55"/>
      <c r="EF27" s="55"/>
      <c r="EG27" s="55"/>
      <c r="EH27" s="55"/>
      <c r="EI27" s="55"/>
      <c r="EJ27" s="55"/>
      <c r="EK27" s="55"/>
      <c r="EL27" s="55"/>
      <c r="EM27" s="55"/>
      <c r="EN27" s="55"/>
    </row>
    <row r="28" spans="2:194" s="17" customFormat="1" ht="19.95" customHeight="1" x14ac:dyDescent="0.3">
      <c r="B28" s="16"/>
      <c r="C28" s="16"/>
      <c r="D28" s="2"/>
      <c r="DX28" s="55"/>
      <c r="DY28" s="55"/>
      <c r="DZ28" s="55"/>
      <c r="EA28" s="55"/>
      <c r="EB28" s="55"/>
      <c r="EC28" s="55"/>
      <c r="ED28" s="55"/>
      <c r="EE28" s="55"/>
      <c r="EF28" s="55"/>
      <c r="EG28" s="55"/>
      <c r="EH28" s="55"/>
      <c r="EI28" s="55"/>
      <c r="EJ28" s="55"/>
      <c r="EK28" s="55"/>
      <c r="EL28" s="55"/>
      <c r="EM28" s="55"/>
      <c r="EN28" s="55"/>
    </row>
    <row r="29" spans="2:194" s="17" customFormat="1" ht="19.95" customHeight="1" x14ac:dyDescent="0.3">
      <c r="B29" s="16"/>
      <c r="C29" s="16"/>
      <c r="D29" s="2"/>
      <c r="P29" s="18"/>
      <c r="Q29" s="18"/>
      <c r="R29" s="18"/>
      <c r="S29" s="18"/>
      <c r="DX29" s="55"/>
      <c r="DY29" s="55"/>
      <c r="DZ29" s="55"/>
      <c r="EA29" s="55"/>
      <c r="EB29" s="55"/>
      <c r="EC29" s="55"/>
      <c r="ED29" s="55"/>
      <c r="EE29" s="55"/>
      <c r="EF29" s="55"/>
      <c r="EG29" s="55"/>
      <c r="EH29" s="55"/>
      <c r="EI29" s="55"/>
      <c r="EJ29" s="55"/>
      <c r="EK29" s="55"/>
      <c r="EL29" s="55"/>
      <c r="EM29" s="55"/>
      <c r="EN29" s="55"/>
    </row>
    <row r="30" spans="2:194" s="17" customFormat="1" ht="19.95" customHeight="1" x14ac:dyDescent="0.3">
      <c r="B30" s="16"/>
      <c r="C30" s="16"/>
      <c r="D30" s="2"/>
      <c r="P30" s="10"/>
      <c r="Q30" s="10"/>
      <c r="R30" s="10"/>
      <c r="S30" s="10"/>
      <c r="DX30" s="55"/>
      <c r="DY30" s="55"/>
      <c r="DZ30" s="55"/>
      <c r="EA30" s="55"/>
      <c r="EB30" s="55"/>
      <c r="EC30" s="55"/>
      <c r="ED30" s="55"/>
      <c r="EE30" s="55"/>
      <c r="EF30" s="55"/>
      <c r="EG30" s="55"/>
      <c r="EH30" s="55"/>
      <c r="EI30" s="55"/>
      <c r="EJ30" s="55"/>
      <c r="EK30" s="55"/>
      <c r="EL30" s="55"/>
      <c r="EM30" s="55"/>
      <c r="EN30" s="55"/>
    </row>
    <row r="31" spans="2:194" s="17" customFormat="1" ht="19.95" customHeight="1" x14ac:dyDescent="0.3">
      <c r="B31" s="16"/>
      <c r="C31" s="16"/>
      <c r="D31" s="2"/>
      <c r="P31" s="18"/>
      <c r="Q31" s="18"/>
      <c r="R31" s="18"/>
      <c r="S31" s="18"/>
      <c r="DX31" s="55"/>
      <c r="DY31" s="55"/>
      <c r="DZ31" s="55"/>
      <c r="EA31" s="55"/>
      <c r="EB31" s="55"/>
      <c r="EC31" s="55"/>
      <c r="ED31" s="55"/>
      <c r="EE31" s="55"/>
      <c r="EF31" s="55"/>
      <c r="EG31" s="55"/>
      <c r="EH31" s="55"/>
      <c r="EI31" s="55"/>
      <c r="EJ31" s="55"/>
      <c r="EK31" s="55"/>
      <c r="EL31" s="55"/>
      <c r="EM31" s="55"/>
      <c r="EN31" s="55"/>
    </row>
    <row r="32" spans="2:194" s="17" customFormat="1" ht="19.95" customHeight="1" x14ac:dyDescent="0.3">
      <c r="B32" s="16"/>
      <c r="C32" s="16"/>
      <c r="D32" s="2"/>
      <c r="P32" s="18"/>
      <c r="Q32" s="18"/>
      <c r="R32" s="18"/>
      <c r="S32" s="18"/>
      <c r="DX32" s="55"/>
      <c r="DY32" s="55"/>
      <c r="DZ32" s="55"/>
      <c r="EA32" s="55"/>
      <c r="EB32" s="55"/>
      <c r="EC32" s="55"/>
      <c r="ED32" s="55"/>
      <c r="EE32" s="55"/>
      <c r="EF32" s="55"/>
      <c r="EG32" s="55"/>
      <c r="EH32" s="55"/>
      <c r="EI32" s="55"/>
      <c r="EJ32" s="55"/>
      <c r="EK32" s="55"/>
      <c r="EL32" s="55"/>
      <c r="EM32" s="55"/>
      <c r="EN32" s="55"/>
    </row>
    <row r="33" spans="16:144" x14ac:dyDescent="0.3">
      <c r="P33" s="4"/>
      <c r="Q33" s="4"/>
      <c r="R33" s="4"/>
      <c r="S33" s="4"/>
      <c r="DX33" s="58"/>
      <c r="DY33" s="58"/>
      <c r="DZ33" s="58"/>
      <c r="EA33" s="73"/>
      <c r="EB33" s="58"/>
      <c r="EC33" s="58"/>
      <c r="ED33" s="58"/>
      <c r="EE33" s="58"/>
      <c r="EF33" s="58"/>
      <c r="EG33" s="58"/>
      <c r="EH33" s="58"/>
      <c r="EI33" s="58"/>
      <c r="EJ33" s="58"/>
      <c r="EK33" s="58"/>
      <c r="EL33" s="58"/>
      <c r="EM33" s="58"/>
      <c r="EN33" s="58"/>
    </row>
    <row r="34" spans="16:144" x14ac:dyDescent="0.3">
      <c r="P34" s="4"/>
      <c r="Q34" s="4"/>
      <c r="R34" s="4"/>
      <c r="S34" s="4"/>
      <c r="DX34" s="58"/>
      <c r="DY34" s="58"/>
      <c r="DZ34" s="58"/>
      <c r="EA34" s="58"/>
      <c r="EB34" s="58"/>
      <c r="EC34" s="58"/>
      <c r="ED34" s="58"/>
      <c r="EE34" s="58"/>
      <c r="EF34" s="58"/>
      <c r="EG34" s="58"/>
      <c r="EH34" s="58"/>
      <c r="EI34" s="58"/>
      <c r="EJ34" s="58"/>
      <c r="EK34" s="58"/>
      <c r="EL34" s="58"/>
      <c r="EM34" s="58"/>
      <c r="EN34" s="58"/>
    </row>
    <row r="35" spans="16:144" x14ac:dyDescent="0.3">
      <c r="P35" s="4"/>
      <c r="Q35" s="4"/>
      <c r="R35" s="4"/>
      <c r="S35" s="4"/>
      <c r="DX35" s="58"/>
      <c r="DY35" s="58"/>
      <c r="DZ35" s="58"/>
      <c r="EA35" s="58"/>
      <c r="EB35" s="58"/>
      <c r="EC35" s="58"/>
      <c r="ED35" s="58"/>
      <c r="EE35" s="58"/>
      <c r="EF35" s="58"/>
      <c r="EG35" s="58"/>
      <c r="EH35" s="58"/>
      <c r="EI35" s="58"/>
      <c r="EJ35" s="58"/>
      <c r="EK35" s="58"/>
      <c r="EL35" s="58"/>
      <c r="EM35" s="58"/>
      <c r="EN35" s="58"/>
    </row>
    <row r="36" spans="16:144" x14ac:dyDescent="0.3">
      <c r="P36" s="4"/>
      <c r="Q36" s="4"/>
      <c r="R36" s="4"/>
      <c r="S36" s="4"/>
      <c r="DX36" s="58"/>
      <c r="DY36" s="58"/>
      <c r="DZ36" s="58"/>
      <c r="EA36" s="58"/>
      <c r="EB36" s="58"/>
      <c r="EC36" s="58"/>
      <c r="ED36" s="58"/>
      <c r="EE36" s="58"/>
      <c r="EF36" s="58"/>
      <c r="EG36" s="58"/>
      <c r="EH36" s="58"/>
      <c r="EI36" s="58"/>
      <c r="EJ36" s="58"/>
      <c r="EK36" s="58"/>
      <c r="EL36" s="58"/>
      <c r="EM36" s="58"/>
      <c r="EN36" s="58"/>
    </row>
    <row r="37" spans="16:144" x14ac:dyDescent="0.3">
      <c r="P37" s="4"/>
      <c r="Q37" s="4"/>
      <c r="R37" s="4"/>
      <c r="S37" s="4"/>
      <c r="DX37" s="58"/>
      <c r="DY37" s="58"/>
      <c r="DZ37" s="58"/>
      <c r="EA37" s="58"/>
      <c r="EB37" s="58"/>
      <c r="EC37" s="58"/>
      <c r="ED37" s="58"/>
      <c r="EE37" s="58"/>
      <c r="EF37" s="58"/>
      <c r="EG37" s="58"/>
      <c r="EH37" s="58"/>
      <c r="EI37" s="58"/>
      <c r="EJ37" s="58"/>
      <c r="EK37" s="58"/>
      <c r="EL37" s="58"/>
      <c r="EM37" s="58"/>
      <c r="EN37" s="58"/>
    </row>
    <row r="38" spans="16:144" x14ac:dyDescent="0.3">
      <c r="P38" s="4"/>
      <c r="Q38" s="4"/>
      <c r="R38" s="4"/>
      <c r="S38" s="4"/>
      <c r="DX38" s="58"/>
      <c r="DY38" s="58"/>
      <c r="DZ38" s="58"/>
      <c r="EA38" s="58"/>
      <c r="EB38" s="58"/>
      <c r="EC38" s="58"/>
      <c r="ED38" s="58"/>
      <c r="EE38" s="58"/>
      <c r="EF38" s="58"/>
      <c r="EG38" s="58"/>
      <c r="EH38" s="58"/>
      <c r="EI38" s="58"/>
      <c r="EJ38" s="58"/>
      <c r="EK38" s="58"/>
      <c r="EL38" s="58"/>
      <c r="EM38" s="58"/>
      <c r="EN38" s="58"/>
    </row>
    <row r="39" spans="16:144" x14ac:dyDescent="0.3">
      <c r="P39" s="4"/>
      <c r="Q39" s="4"/>
      <c r="R39" s="4"/>
      <c r="S39" s="4"/>
      <c r="DX39" s="58"/>
      <c r="DY39" s="58"/>
      <c r="DZ39" s="58"/>
      <c r="EA39" s="58"/>
      <c r="EB39" s="58"/>
      <c r="EC39" s="58"/>
      <c r="ED39" s="58"/>
      <c r="EE39" s="58"/>
      <c r="EF39" s="58"/>
      <c r="EG39" s="58"/>
      <c r="EH39" s="58"/>
      <c r="EI39" s="58"/>
      <c r="EJ39" s="58"/>
      <c r="EK39" s="58"/>
      <c r="EL39" s="58"/>
      <c r="EM39" s="58"/>
      <c r="EN39" s="58"/>
    </row>
    <row r="40" spans="16:144" x14ac:dyDescent="0.3">
      <c r="P40" s="4"/>
      <c r="Q40" s="4"/>
      <c r="R40" s="4"/>
      <c r="S40" s="4"/>
      <c r="DX40" s="58"/>
      <c r="DY40" s="58"/>
      <c r="DZ40" s="58"/>
      <c r="EA40" s="58"/>
      <c r="EB40" s="58"/>
      <c r="EC40" s="58"/>
      <c r="ED40" s="58"/>
      <c r="EE40" s="58"/>
      <c r="EF40" s="58"/>
      <c r="EG40" s="58"/>
      <c r="EH40" s="58"/>
      <c r="EI40" s="58"/>
      <c r="EJ40" s="58"/>
      <c r="EK40" s="58"/>
      <c r="EL40" s="58"/>
      <c r="EM40" s="58"/>
      <c r="EN40" s="58"/>
    </row>
    <row r="41" spans="16:144" x14ac:dyDescent="0.3">
      <c r="P41" s="4"/>
      <c r="Q41" s="4"/>
      <c r="R41" s="4"/>
      <c r="S41" s="4"/>
      <c r="DX41" s="58"/>
      <c r="DY41" s="58"/>
      <c r="DZ41" s="58"/>
      <c r="EA41" s="58"/>
      <c r="EB41" s="58"/>
      <c r="EC41" s="58"/>
      <c r="ED41" s="58"/>
      <c r="EE41" s="58"/>
      <c r="EF41" s="58"/>
      <c r="EG41" s="58"/>
      <c r="EH41" s="58"/>
      <c r="EI41" s="58"/>
      <c r="EJ41" s="58"/>
      <c r="EK41" s="58"/>
      <c r="EL41" s="58"/>
      <c r="EM41" s="58"/>
      <c r="EN41" s="58"/>
    </row>
    <row r="42" spans="16:144" x14ac:dyDescent="0.3">
      <c r="P42" s="4"/>
      <c r="Q42" s="4"/>
      <c r="R42" s="4"/>
      <c r="S42" s="4"/>
      <c r="DX42" s="58"/>
      <c r="DY42" s="58"/>
      <c r="DZ42" s="58"/>
      <c r="EA42" s="58"/>
      <c r="EB42" s="58"/>
      <c r="EC42" s="58"/>
      <c r="ED42" s="58"/>
      <c r="EE42" s="58"/>
      <c r="EF42" s="58"/>
      <c r="EG42" s="58"/>
      <c r="EH42" s="58"/>
      <c r="EI42" s="58"/>
      <c r="EJ42" s="58"/>
      <c r="EK42" s="58"/>
      <c r="EL42" s="58"/>
      <c r="EM42" s="58"/>
      <c r="EN42" s="58"/>
    </row>
    <row r="43" spans="16:144" x14ac:dyDescent="0.3">
      <c r="P43" s="4"/>
      <c r="Q43" s="4"/>
      <c r="R43" s="4"/>
      <c r="S43" s="4"/>
      <c r="DX43" s="58"/>
      <c r="DY43" s="58"/>
      <c r="DZ43" s="58"/>
      <c r="EA43" s="58"/>
      <c r="EB43" s="58"/>
      <c r="EC43" s="58"/>
      <c r="ED43" s="58"/>
      <c r="EE43" s="58"/>
      <c r="EF43" s="58"/>
      <c r="EG43" s="58"/>
      <c r="EH43" s="58"/>
      <c r="EI43" s="58"/>
      <c r="EJ43" s="58"/>
      <c r="EK43" s="58"/>
      <c r="EL43" s="58"/>
      <c r="EM43" s="58"/>
      <c r="EN43" s="58"/>
    </row>
    <row r="44" spans="16:144" x14ac:dyDescent="0.3">
      <c r="P44" s="4"/>
      <c r="Q44" s="4"/>
      <c r="R44" s="4"/>
      <c r="S44" s="4"/>
      <c r="DX44" s="58"/>
      <c r="DY44" s="58"/>
      <c r="DZ44" s="58"/>
      <c r="EA44" s="58"/>
      <c r="EB44" s="58"/>
      <c r="EC44" s="58"/>
      <c r="ED44" s="58"/>
      <c r="EE44" s="58"/>
      <c r="EF44" s="58"/>
      <c r="EG44" s="58"/>
      <c r="EH44" s="58"/>
      <c r="EI44" s="58"/>
      <c r="EJ44" s="58"/>
      <c r="EK44" s="58"/>
      <c r="EL44" s="58"/>
      <c r="EM44" s="58"/>
      <c r="EN44" s="58"/>
    </row>
    <row r="45" spans="16:144" x14ac:dyDescent="0.3">
      <c r="P45" s="4"/>
      <c r="Q45" s="4"/>
      <c r="R45" s="4"/>
      <c r="S45" s="4"/>
      <c r="DX45" s="58"/>
      <c r="DY45" s="58"/>
      <c r="DZ45" s="58"/>
      <c r="EA45" s="58"/>
      <c r="EB45" s="58"/>
      <c r="EC45" s="58"/>
      <c r="ED45" s="58"/>
      <c r="EE45" s="58"/>
      <c r="EF45" s="58"/>
      <c r="EG45" s="58"/>
      <c r="EH45" s="58"/>
      <c r="EI45" s="58"/>
      <c r="EJ45" s="58"/>
      <c r="EK45" s="58"/>
      <c r="EL45" s="58"/>
      <c r="EM45" s="58"/>
      <c r="EN45" s="58"/>
    </row>
    <row r="46" spans="16:144" x14ac:dyDescent="0.3">
      <c r="P46" s="4"/>
      <c r="Q46" s="4"/>
      <c r="R46" s="4"/>
      <c r="S46" s="4"/>
      <c r="DX46" s="58"/>
      <c r="DY46" s="58"/>
      <c r="DZ46" s="58"/>
      <c r="EA46" s="58"/>
      <c r="EB46" s="58"/>
      <c r="EC46" s="58"/>
      <c r="ED46" s="58"/>
      <c r="EE46" s="58"/>
      <c r="EF46" s="58"/>
      <c r="EG46" s="58"/>
      <c r="EH46" s="58"/>
      <c r="EI46" s="58"/>
      <c r="EJ46" s="58"/>
      <c r="EK46" s="58"/>
      <c r="EL46" s="58"/>
      <c r="EM46" s="58"/>
      <c r="EN46" s="58"/>
    </row>
    <row r="47" spans="16:144" x14ac:dyDescent="0.3">
      <c r="P47" s="4"/>
      <c r="Q47" s="4"/>
      <c r="R47" s="4"/>
      <c r="S47" s="4"/>
      <c r="DX47" s="58"/>
      <c r="DY47" s="58"/>
      <c r="DZ47" s="58"/>
      <c r="EA47" s="58"/>
      <c r="EB47" s="58"/>
      <c r="EC47" s="58"/>
      <c r="ED47" s="58"/>
      <c r="EE47" s="58"/>
      <c r="EF47" s="58"/>
      <c r="EG47" s="58"/>
      <c r="EH47" s="58"/>
      <c r="EI47" s="58"/>
      <c r="EJ47" s="58"/>
      <c r="EK47" s="58"/>
      <c r="EL47" s="58"/>
      <c r="EM47" s="58"/>
      <c r="EN47" s="58"/>
    </row>
    <row r="48" spans="16:144" x14ac:dyDescent="0.3">
      <c r="P48" s="4"/>
      <c r="Q48" s="4"/>
      <c r="R48" s="4"/>
      <c r="S48" s="4"/>
      <c r="DX48" s="58"/>
      <c r="DY48" s="58"/>
      <c r="DZ48" s="58"/>
      <c r="EA48" s="58"/>
      <c r="EB48" s="58"/>
      <c r="EC48" s="58"/>
      <c r="ED48" s="58"/>
      <c r="EE48" s="58"/>
      <c r="EF48" s="58"/>
      <c r="EG48" s="58"/>
      <c r="EH48" s="58"/>
      <c r="EI48" s="58"/>
      <c r="EJ48" s="58"/>
      <c r="EK48" s="58"/>
      <c r="EL48" s="58"/>
      <c r="EM48" s="58"/>
      <c r="EN48" s="58"/>
    </row>
    <row r="49" spans="1:144" x14ac:dyDescent="0.3">
      <c r="A49" s="4"/>
      <c r="B49" s="5"/>
      <c r="C49" s="5"/>
      <c r="D49" s="6"/>
      <c r="E49" s="4"/>
      <c r="F49" s="4"/>
      <c r="G49" s="4"/>
      <c r="H49" s="4"/>
      <c r="I49" s="4"/>
      <c r="J49" s="4"/>
      <c r="K49" s="4"/>
      <c r="L49" s="4"/>
      <c r="M49" s="4"/>
      <c r="N49" s="4"/>
      <c r="O49" s="4"/>
      <c r="P49" s="4"/>
      <c r="Q49" s="4"/>
      <c r="R49" s="4"/>
      <c r="S49" s="4"/>
      <c r="DX49" s="58"/>
      <c r="DY49" s="58"/>
      <c r="DZ49" s="58"/>
      <c r="EA49" s="58"/>
      <c r="EB49" s="58"/>
      <c r="EC49" s="58"/>
      <c r="ED49" s="58"/>
      <c r="EE49" s="58"/>
      <c r="EF49" s="58"/>
      <c r="EG49" s="58"/>
      <c r="EH49" s="58"/>
      <c r="EI49" s="58"/>
      <c r="EJ49" s="58"/>
      <c r="EK49" s="58"/>
      <c r="EL49" s="58"/>
      <c r="EM49" s="58"/>
      <c r="EN49" s="58"/>
    </row>
    <row r="50" spans="1:144" x14ac:dyDescent="0.3">
      <c r="A50" s="4"/>
      <c r="B50" s="5"/>
      <c r="C50" s="5"/>
      <c r="D50" s="6"/>
      <c r="E50" s="4"/>
      <c r="F50" s="123"/>
      <c r="G50" s="123"/>
      <c r="H50" s="123"/>
      <c r="I50" s="123"/>
      <c r="J50" s="123"/>
      <c r="K50" s="123"/>
      <c r="L50" s="123"/>
      <c r="M50" s="123"/>
      <c r="N50" s="123"/>
      <c r="O50" s="4"/>
      <c r="P50" s="4"/>
      <c r="Q50" s="4"/>
      <c r="R50" s="4"/>
      <c r="S50" s="4"/>
      <c r="DX50" s="58"/>
      <c r="DY50" s="58"/>
      <c r="DZ50" s="58"/>
      <c r="EA50" s="58"/>
      <c r="EB50" s="58"/>
      <c r="EC50" s="58"/>
      <c r="ED50" s="58"/>
      <c r="EE50" s="58"/>
      <c r="EF50" s="58"/>
      <c r="EG50" s="58"/>
      <c r="EH50" s="58"/>
      <c r="EI50" s="58"/>
      <c r="EJ50" s="58"/>
      <c r="EK50" s="58"/>
      <c r="EL50" s="58"/>
      <c r="EM50" s="58"/>
      <c r="EN50" s="58"/>
    </row>
    <row r="51" spans="1:144" x14ac:dyDescent="0.3">
      <c r="A51" s="4"/>
      <c r="B51" s="5"/>
      <c r="C51" s="5"/>
      <c r="D51" s="6"/>
      <c r="E51" s="4"/>
      <c r="F51" s="123"/>
      <c r="G51" s="123"/>
      <c r="H51" s="123"/>
      <c r="I51" s="123"/>
      <c r="J51" s="123"/>
      <c r="K51" s="123"/>
      <c r="L51" s="123"/>
      <c r="M51" s="123"/>
      <c r="N51" s="123"/>
      <c r="O51" s="4"/>
      <c r="P51" s="4"/>
      <c r="Q51" s="4"/>
      <c r="R51" s="4"/>
      <c r="S51" s="4"/>
      <c r="DX51" s="58"/>
      <c r="DY51" s="58"/>
      <c r="DZ51" s="58"/>
      <c r="EA51" s="58"/>
      <c r="EB51" s="58"/>
      <c r="EC51" s="58"/>
      <c r="ED51" s="58"/>
      <c r="EE51" s="58"/>
      <c r="EF51" s="58"/>
      <c r="EG51" s="58"/>
      <c r="EH51" s="58"/>
      <c r="EI51" s="58"/>
      <c r="EJ51" s="58"/>
      <c r="EK51" s="58"/>
      <c r="EL51" s="58"/>
      <c r="EM51" s="58"/>
      <c r="EN51" s="58"/>
    </row>
    <row r="52" spans="1:144" x14ac:dyDescent="0.3">
      <c r="A52" s="4"/>
      <c r="B52" s="5"/>
      <c r="C52" s="5"/>
      <c r="D52" s="6"/>
      <c r="E52" s="4"/>
      <c r="F52" s="123"/>
      <c r="G52" s="123"/>
      <c r="H52" s="123"/>
      <c r="I52" s="123"/>
      <c r="J52" s="123"/>
      <c r="K52" s="123"/>
      <c r="L52" s="123"/>
      <c r="M52" s="123"/>
      <c r="N52" s="123"/>
      <c r="O52" s="4"/>
      <c r="P52" s="4"/>
      <c r="Q52" s="4"/>
      <c r="R52" s="4"/>
      <c r="S52" s="4"/>
      <c r="DX52" s="58"/>
      <c r="DY52" s="58"/>
      <c r="DZ52" s="58"/>
      <c r="EA52" s="58"/>
      <c r="EB52" s="58"/>
      <c r="EC52" s="58"/>
      <c r="ED52" s="58"/>
      <c r="EE52" s="58"/>
      <c r="EF52" s="58"/>
      <c r="EG52" s="58"/>
      <c r="EH52" s="58"/>
      <c r="EI52" s="58"/>
      <c r="EJ52" s="58"/>
      <c r="EK52" s="58"/>
      <c r="EL52" s="58"/>
      <c r="EM52" s="58"/>
      <c r="EN52" s="58"/>
    </row>
    <row r="53" spans="1:144" x14ac:dyDescent="0.3">
      <c r="A53" s="4"/>
      <c r="B53" s="5"/>
      <c r="C53" s="5"/>
      <c r="D53" s="6"/>
      <c r="E53" s="4"/>
      <c r="F53" s="4"/>
      <c r="G53" s="4"/>
      <c r="H53" s="4"/>
      <c r="I53" s="4"/>
      <c r="J53" s="4"/>
      <c r="K53" s="4"/>
      <c r="L53" s="4"/>
      <c r="M53" s="4"/>
      <c r="N53" s="4"/>
      <c r="O53" s="4"/>
      <c r="P53" s="4"/>
      <c r="Q53" s="4"/>
      <c r="R53" s="4"/>
      <c r="S53" s="4"/>
    </row>
  </sheetData>
  <sheetProtection sheet="1" objects="1" scenarios="1" selectLockedCells="1"/>
  <mergeCells count="52">
    <mergeCell ref="T3:W3"/>
    <mergeCell ref="BD3:BF3"/>
    <mergeCell ref="CN3:CQ3"/>
    <mergeCell ref="DF3:DI3"/>
    <mergeCell ref="DX3:EH3"/>
    <mergeCell ref="EK4:EN4"/>
    <mergeCell ref="F5:N7"/>
    <mergeCell ref="X5:AF7"/>
    <mergeCell ref="AP5:AX7"/>
    <mergeCell ref="BH5:BP7"/>
    <mergeCell ref="BZ5:CH7"/>
    <mergeCell ref="CR5:CZ7"/>
    <mergeCell ref="DJ5:DR7"/>
    <mergeCell ref="DX4:DY4"/>
    <mergeCell ref="DZ4:EH4"/>
    <mergeCell ref="AT9:AW9"/>
    <mergeCell ref="F11:G11"/>
    <mergeCell ref="J11:M11"/>
    <mergeCell ref="X11:Y11"/>
    <mergeCell ref="AB11:AE11"/>
    <mergeCell ref="AP11:AQ11"/>
    <mergeCell ref="AT11:AW11"/>
    <mergeCell ref="DJ11:DK11"/>
    <mergeCell ref="DN11:DQ11"/>
    <mergeCell ref="J13:M13"/>
    <mergeCell ref="AB13:AE13"/>
    <mergeCell ref="AT13:AW13"/>
    <mergeCell ref="BL13:BO13"/>
    <mergeCell ref="CD13:CG13"/>
    <mergeCell ref="CV13:CY13"/>
    <mergeCell ref="DN13:DQ13"/>
    <mergeCell ref="BH11:BI11"/>
    <mergeCell ref="BL11:BO11"/>
    <mergeCell ref="BZ11:CA11"/>
    <mergeCell ref="CD11:CG11"/>
    <mergeCell ref="CR11:CS11"/>
    <mergeCell ref="CV11:CY11"/>
    <mergeCell ref="F23:N25"/>
    <mergeCell ref="F50:N52"/>
    <mergeCell ref="DN15:DQ15"/>
    <mergeCell ref="J17:M17"/>
    <mergeCell ref="AB17:AE17"/>
    <mergeCell ref="AT17:AW17"/>
    <mergeCell ref="BL17:BO17"/>
    <mergeCell ref="CD17:CG17"/>
    <mergeCell ref="CV17:CY17"/>
    <mergeCell ref="J15:M15"/>
    <mergeCell ref="AB15:AE15"/>
    <mergeCell ref="AT15:AW15"/>
    <mergeCell ref="BL15:BO15"/>
    <mergeCell ref="CD15:CG15"/>
    <mergeCell ref="CV15:CY15"/>
  </mergeCells>
  <conditionalFormatting sqref="EM5:EM21">
    <cfRule type="top10" dxfId="30" priority="1" rank="3"/>
  </conditionalFormatting>
  <printOptions verticalCentered="1"/>
  <pageMargins left="0.74803149606299213" right="0.74803149606299213" top="1.1811023622047245" bottom="0.98425196850393704" header="0.51181102362204722" footer="0.51181102362204722"/>
  <pageSetup paperSize="9" scale="10" orientation="portrait" horizontalDpi="4294967294" verticalDpi="0" r:id="rId1"/>
  <headerFooter alignWithMargins="0">
    <oddHeader>&amp;C&amp;24&amp;K03+000
Results Belbintest&amp;R&amp;G</oddHeader>
    <oddFooter>&amp;R&amp;K03+000Printing date &amp;D</oddFooter>
  </headerFooter>
  <colBreaks count="13" manualBreakCount="13">
    <brk id="5" max="1048575" man="1"/>
    <brk id="18" max="1048575" man="1"/>
    <brk id="23" max="1048575" man="1"/>
    <brk id="41" max="1048575" man="1"/>
    <brk id="54" max="1048575" man="1"/>
    <brk id="59" max="1048575" man="1"/>
    <brk id="77" max="1048575" man="1"/>
    <brk id="90" max="1048575" man="1"/>
    <brk id="95" max="1048575" man="1"/>
    <brk id="108" max="1048575" man="1"/>
    <brk id="113" max="1048575" man="1"/>
    <brk id="126" max="1048575" man="1"/>
    <brk id="144" max="1048575" man="1"/>
  </col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1">
    <pageSetUpPr fitToPage="1"/>
  </sheetPr>
  <dimension ref="A1:GL53"/>
  <sheetViews>
    <sheetView topLeftCell="CZ1" zoomScale="85" zoomScaleNormal="85" workbookViewId="0">
      <selection activeCell="DH21" sqref="DH21"/>
    </sheetView>
  </sheetViews>
  <sheetFormatPr defaultColWidth="9.109375" defaultRowHeight="17.399999999999999" x14ac:dyDescent="0.25"/>
  <cols>
    <col min="1" max="1" width="8.6640625" style="3" customWidth="1"/>
    <col min="2" max="2" width="59.33203125" style="1" bestFit="1" customWidth="1"/>
    <col min="3" max="3" width="2.33203125" style="1" customWidth="1"/>
    <col min="4" max="4" width="9.109375" style="2"/>
    <col min="5" max="18" width="9.109375" style="3"/>
    <col min="19" max="19" width="8.6640625" style="3" customWidth="1"/>
    <col min="20" max="20" width="59.33203125" style="3" customWidth="1"/>
    <col min="21" max="21" width="2.33203125" style="3" customWidth="1"/>
    <col min="22" max="35" width="9.109375" style="3"/>
    <col min="36" max="36" width="9.109375" style="3" customWidth="1"/>
    <col min="37" max="37" width="8.6640625" style="3" customWidth="1"/>
    <col min="38" max="38" width="59.33203125" style="3" customWidth="1"/>
    <col min="39" max="39" width="2.33203125" style="3" customWidth="1"/>
    <col min="40" max="53" width="9.109375" style="3"/>
    <col min="54" max="54" width="9.109375" style="3" customWidth="1"/>
    <col min="55" max="55" width="8.6640625" style="3" customWidth="1"/>
    <col min="56" max="56" width="59.33203125" style="3" customWidth="1"/>
    <col min="57" max="57" width="2.33203125" style="3" customWidth="1"/>
    <col min="58" max="71" width="9.109375" style="3"/>
    <col min="72" max="72" width="9.109375" style="3" customWidth="1"/>
    <col min="73" max="73" width="8.6640625" style="3" customWidth="1"/>
    <col min="74" max="74" width="59.33203125" style="3" customWidth="1"/>
    <col min="75" max="75" width="2.33203125" style="3" customWidth="1"/>
    <col min="76" max="89" width="9.109375" style="3"/>
    <col min="90" max="90" width="9.109375" style="3" customWidth="1"/>
    <col min="91" max="91" width="8.6640625" style="3" customWidth="1"/>
    <col min="92" max="92" width="59.33203125" style="3" customWidth="1"/>
    <col min="93" max="93" width="2.33203125" style="3" customWidth="1"/>
    <col min="94" max="107" width="9.109375" style="3"/>
    <col min="108" max="108" width="9.109375" style="3" customWidth="1"/>
    <col min="109" max="109" width="8.6640625" style="3" customWidth="1"/>
    <col min="110" max="110" width="59.33203125" style="3" customWidth="1"/>
    <col min="111" max="111" width="2.33203125" style="3" customWidth="1"/>
    <col min="112" max="127" width="9.109375" style="3"/>
    <col min="128" max="128" width="9.109375" style="3" customWidth="1"/>
    <col min="129" max="129" width="3.33203125" style="3" customWidth="1"/>
    <col min="130" max="138" width="4.77734375" style="3" customWidth="1"/>
    <col min="139" max="141" width="9.109375" style="3"/>
    <col min="142" max="142" width="14.6640625" style="3" customWidth="1"/>
    <col min="143" max="143" width="9.109375" style="3"/>
    <col min="144" max="144" width="6.6640625" style="3" customWidth="1"/>
    <col min="145" max="150" width="9.109375" style="3"/>
    <col min="151" max="151" width="2.33203125" style="3" customWidth="1"/>
    <col min="152" max="152" width="2.88671875" style="3" customWidth="1"/>
    <col min="153" max="257" width="9.109375" style="3"/>
    <col min="258" max="258" width="3" style="3" customWidth="1"/>
    <col min="259" max="259" width="59.33203125" style="3" bestFit="1" customWidth="1"/>
    <col min="260" max="260" width="2.33203125" style="3" customWidth="1"/>
    <col min="261" max="513" width="9.109375" style="3"/>
    <col min="514" max="514" width="3" style="3" customWidth="1"/>
    <col min="515" max="515" width="59.33203125" style="3" bestFit="1" customWidth="1"/>
    <col min="516" max="516" width="2.33203125" style="3" customWidth="1"/>
    <col min="517" max="769" width="9.109375" style="3"/>
    <col min="770" max="770" width="3" style="3" customWidth="1"/>
    <col min="771" max="771" width="59.33203125" style="3" bestFit="1" customWidth="1"/>
    <col min="772" max="772" width="2.33203125" style="3" customWidth="1"/>
    <col min="773" max="1025" width="9.109375" style="3"/>
    <col min="1026" max="1026" width="3" style="3" customWidth="1"/>
    <col min="1027" max="1027" width="59.33203125" style="3" bestFit="1" customWidth="1"/>
    <col min="1028" max="1028" width="2.33203125" style="3" customWidth="1"/>
    <col min="1029" max="1281" width="9.109375" style="3"/>
    <col min="1282" max="1282" width="3" style="3" customWidth="1"/>
    <col min="1283" max="1283" width="59.33203125" style="3" bestFit="1" customWidth="1"/>
    <col min="1284" max="1284" width="2.33203125" style="3" customWidth="1"/>
    <col min="1285" max="1537" width="9.109375" style="3"/>
    <col min="1538" max="1538" width="3" style="3" customWidth="1"/>
    <col min="1539" max="1539" width="59.33203125" style="3" bestFit="1" customWidth="1"/>
    <col min="1540" max="1540" width="2.33203125" style="3" customWidth="1"/>
    <col min="1541" max="1793" width="9.109375" style="3"/>
    <col min="1794" max="1794" width="3" style="3" customWidth="1"/>
    <col min="1795" max="1795" width="59.33203125" style="3" bestFit="1" customWidth="1"/>
    <col min="1796" max="1796" width="2.33203125" style="3" customWidth="1"/>
    <col min="1797" max="2049" width="9.109375" style="3"/>
    <col min="2050" max="2050" width="3" style="3" customWidth="1"/>
    <col min="2051" max="2051" width="59.33203125" style="3" bestFit="1" customWidth="1"/>
    <col min="2052" max="2052" width="2.33203125" style="3" customWidth="1"/>
    <col min="2053" max="2305" width="9.109375" style="3"/>
    <col min="2306" max="2306" width="3" style="3" customWidth="1"/>
    <col min="2307" max="2307" width="59.33203125" style="3" bestFit="1" customWidth="1"/>
    <col min="2308" max="2308" width="2.33203125" style="3" customWidth="1"/>
    <col min="2309" max="2561" width="9.109375" style="3"/>
    <col min="2562" max="2562" width="3" style="3" customWidth="1"/>
    <col min="2563" max="2563" width="59.33203125" style="3" bestFit="1" customWidth="1"/>
    <col min="2564" max="2564" width="2.33203125" style="3" customWidth="1"/>
    <col min="2565" max="2817" width="9.109375" style="3"/>
    <col min="2818" max="2818" width="3" style="3" customWidth="1"/>
    <col min="2819" max="2819" width="59.33203125" style="3" bestFit="1" customWidth="1"/>
    <col min="2820" max="2820" width="2.33203125" style="3" customWidth="1"/>
    <col min="2821" max="3073" width="9.109375" style="3"/>
    <col min="3074" max="3074" width="3" style="3" customWidth="1"/>
    <col min="3075" max="3075" width="59.33203125" style="3" bestFit="1" customWidth="1"/>
    <col min="3076" max="3076" width="2.33203125" style="3" customWidth="1"/>
    <col min="3077" max="3329" width="9.109375" style="3"/>
    <col min="3330" max="3330" width="3" style="3" customWidth="1"/>
    <col min="3331" max="3331" width="59.33203125" style="3" bestFit="1" customWidth="1"/>
    <col min="3332" max="3332" width="2.33203125" style="3" customWidth="1"/>
    <col min="3333" max="3585" width="9.109375" style="3"/>
    <col min="3586" max="3586" width="3" style="3" customWidth="1"/>
    <col min="3587" max="3587" width="59.33203125" style="3" bestFit="1" customWidth="1"/>
    <col min="3588" max="3588" width="2.33203125" style="3" customWidth="1"/>
    <col min="3589" max="3841" width="9.109375" style="3"/>
    <col min="3842" max="3842" width="3" style="3" customWidth="1"/>
    <col min="3843" max="3843" width="59.33203125" style="3" bestFit="1" customWidth="1"/>
    <col min="3844" max="3844" width="2.33203125" style="3" customWidth="1"/>
    <col min="3845" max="4097" width="9.109375" style="3"/>
    <col min="4098" max="4098" width="3" style="3" customWidth="1"/>
    <col min="4099" max="4099" width="59.33203125" style="3" bestFit="1" customWidth="1"/>
    <col min="4100" max="4100" width="2.33203125" style="3" customWidth="1"/>
    <col min="4101" max="4353" width="9.109375" style="3"/>
    <col min="4354" max="4354" width="3" style="3" customWidth="1"/>
    <col min="4355" max="4355" width="59.33203125" style="3" bestFit="1" customWidth="1"/>
    <col min="4356" max="4356" width="2.33203125" style="3" customWidth="1"/>
    <col min="4357" max="4609" width="9.109375" style="3"/>
    <col min="4610" max="4610" width="3" style="3" customWidth="1"/>
    <col min="4611" max="4611" width="59.33203125" style="3" bestFit="1" customWidth="1"/>
    <col min="4612" max="4612" width="2.33203125" style="3" customWidth="1"/>
    <col min="4613" max="4865" width="9.109375" style="3"/>
    <col min="4866" max="4866" width="3" style="3" customWidth="1"/>
    <col min="4867" max="4867" width="59.33203125" style="3" bestFit="1" customWidth="1"/>
    <col min="4868" max="4868" width="2.33203125" style="3" customWidth="1"/>
    <col min="4869" max="5121" width="9.109375" style="3"/>
    <col min="5122" max="5122" width="3" style="3" customWidth="1"/>
    <col min="5123" max="5123" width="59.33203125" style="3" bestFit="1" customWidth="1"/>
    <col min="5124" max="5124" width="2.33203125" style="3" customWidth="1"/>
    <col min="5125" max="5377" width="9.109375" style="3"/>
    <col min="5378" max="5378" width="3" style="3" customWidth="1"/>
    <col min="5379" max="5379" width="59.33203125" style="3" bestFit="1" customWidth="1"/>
    <col min="5380" max="5380" width="2.33203125" style="3" customWidth="1"/>
    <col min="5381" max="5633" width="9.109375" style="3"/>
    <col min="5634" max="5634" width="3" style="3" customWidth="1"/>
    <col min="5635" max="5635" width="59.33203125" style="3" bestFit="1" customWidth="1"/>
    <col min="5636" max="5636" width="2.33203125" style="3" customWidth="1"/>
    <col min="5637" max="5889" width="9.109375" style="3"/>
    <col min="5890" max="5890" width="3" style="3" customWidth="1"/>
    <col min="5891" max="5891" width="59.33203125" style="3" bestFit="1" customWidth="1"/>
    <col min="5892" max="5892" width="2.33203125" style="3" customWidth="1"/>
    <col min="5893" max="6145" width="9.109375" style="3"/>
    <col min="6146" max="6146" width="3" style="3" customWidth="1"/>
    <col min="6147" max="6147" width="59.33203125" style="3" bestFit="1" customWidth="1"/>
    <col min="6148" max="6148" width="2.33203125" style="3" customWidth="1"/>
    <col min="6149" max="6401" width="9.109375" style="3"/>
    <col min="6402" max="6402" width="3" style="3" customWidth="1"/>
    <col min="6403" max="6403" width="59.33203125" style="3" bestFit="1" customWidth="1"/>
    <col min="6404" max="6404" width="2.33203125" style="3" customWidth="1"/>
    <col min="6405" max="6657" width="9.109375" style="3"/>
    <col min="6658" max="6658" width="3" style="3" customWidth="1"/>
    <col min="6659" max="6659" width="59.33203125" style="3" bestFit="1" customWidth="1"/>
    <col min="6660" max="6660" width="2.33203125" style="3" customWidth="1"/>
    <col min="6661" max="6913" width="9.109375" style="3"/>
    <col min="6914" max="6914" width="3" style="3" customWidth="1"/>
    <col min="6915" max="6915" width="59.33203125" style="3" bestFit="1" customWidth="1"/>
    <col min="6916" max="6916" width="2.33203125" style="3" customWidth="1"/>
    <col min="6917" max="7169" width="9.109375" style="3"/>
    <col min="7170" max="7170" width="3" style="3" customWidth="1"/>
    <col min="7171" max="7171" width="59.33203125" style="3" bestFit="1" customWidth="1"/>
    <col min="7172" max="7172" width="2.33203125" style="3" customWidth="1"/>
    <col min="7173" max="7425" width="9.109375" style="3"/>
    <col min="7426" max="7426" width="3" style="3" customWidth="1"/>
    <col min="7427" max="7427" width="59.33203125" style="3" bestFit="1" customWidth="1"/>
    <col min="7428" max="7428" width="2.33203125" style="3" customWidth="1"/>
    <col min="7429" max="7681" width="9.109375" style="3"/>
    <col min="7682" max="7682" width="3" style="3" customWidth="1"/>
    <col min="7683" max="7683" width="59.33203125" style="3" bestFit="1" customWidth="1"/>
    <col min="7684" max="7684" width="2.33203125" style="3" customWidth="1"/>
    <col min="7685" max="7937" width="9.109375" style="3"/>
    <col min="7938" max="7938" width="3" style="3" customWidth="1"/>
    <col min="7939" max="7939" width="59.33203125" style="3" bestFit="1" customWidth="1"/>
    <col min="7940" max="7940" width="2.33203125" style="3" customWidth="1"/>
    <col min="7941" max="8193" width="9.109375" style="3"/>
    <col min="8194" max="8194" width="3" style="3" customWidth="1"/>
    <col min="8195" max="8195" width="59.33203125" style="3" bestFit="1" customWidth="1"/>
    <col min="8196" max="8196" width="2.33203125" style="3" customWidth="1"/>
    <col min="8197" max="8449" width="9.109375" style="3"/>
    <col min="8450" max="8450" width="3" style="3" customWidth="1"/>
    <col min="8451" max="8451" width="59.33203125" style="3" bestFit="1" customWidth="1"/>
    <col min="8452" max="8452" width="2.33203125" style="3" customWidth="1"/>
    <col min="8453" max="8705" width="9.109375" style="3"/>
    <col min="8706" max="8706" width="3" style="3" customWidth="1"/>
    <col min="8707" max="8707" width="59.33203125" style="3" bestFit="1" customWidth="1"/>
    <col min="8708" max="8708" width="2.33203125" style="3" customWidth="1"/>
    <col min="8709" max="8961" width="9.109375" style="3"/>
    <col min="8962" max="8962" width="3" style="3" customWidth="1"/>
    <col min="8963" max="8963" width="59.33203125" style="3" bestFit="1" customWidth="1"/>
    <col min="8964" max="8964" width="2.33203125" style="3" customWidth="1"/>
    <col min="8965" max="9217" width="9.109375" style="3"/>
    <col min="9218" max="9218" width="3" style="3" customWidth="1"/>
    <col min="9219" max="9219" width="59.33203125" style="3" bestFit="1" customWidth="1"/>
    <col min="9220" max="9220" width="2.33203125" style="3" customWidth="1"/>
    <col min="9221" max="9473" width="9.109375" style="3"/>
    <col min="9474" max="9474" width="3" style="3" customWidth="1"/>
    <col min="9475" max="9475" width="59.33203125" style="3" bestFit="1" customWidth="1"/>
    <col min="9476" max="9476" width="2.33203125" style="3" customWidth="1"/>
    <col min="9477" max="9729" width="9.109375" style="3"/>
    <col min="9730" max="9730" width="3" style="3" customWidth="1"/>
    <col min="9731" max="9731" width="59.33203125" style="3" bestFit="1" customWidth="1"/>
    <col min="9732" max="9732" width="2.33203125" style="3" customWidth="1"/>
    <col min="9733" max="9985" width="9.109375" style="3"/>
    <col min="9986" max="9986" width="3" style="3" customWidth="1"/>
    <col min="9987" max="9987" width="59.33203125" style="3" bestFit="1" customWidth="1"/>
    <col min="9988" max="9988" width="2.33203125" style="3" customWidth="1"/>
    <col min="9989" max="10241" width="9.109375" style="3"/>
    <col min="10242" max="10242" width="3" style="3" customWidth="1"/>
    <col min="10243" max="10243" width="59.33203125" style="3" bestFit="1" customWidth="1"/>
    <col min="10244" max="10244" width="2.33203125" style="3" customWidth="1"/>
    <col min="10245" max="10497" width="9.109375" style="3"/>
    <col min="10498" max="10498" width="3" style="3" customWidth="1"/>
    <col min="10499" max="10499" width="59.33203125" style="3" bestFit="1" customWidth="1"/>
    <col min="10500" max="10500" width="2.33203125" style="3" customWidth="1"/>
    <col min="10501" max="10753" width="9.109375" style="3"/>
    <col min="10754" max="10754" width="3" style="3" customWidth="1"/>
    <col min="10755" max="10755" width="59.33203125" style="3" bestFit="1" customWidth="1"/>
    <col min="10756" max="10756" width="2.33203125" style="3" customWidth="1"/>
    <col min="10757" max="11009" width="9.109375" style="3"/>
    <col min="11010" max="11010" width="3" style="3" customWidth="1"/>
    <col min="11011" max="11011" width="59.33203125" style="3" bestFit="1" customWidth="1"/>
    <col min="11012" max="11012" width="2.33203125" style="3" customWidth="1"/>
    <col min="11013" max="11265" width="9.109375" style="3"/>
    <col min="11266" max="11266" width="3" style="3" customWidth="1"/>
    <col min="11267" max="11267" width="59.33203125" style="3" bestFit="1" customWidth="1"/>
    <col min="11268" max="11268" width="2.33203125" style="3" customWidth="1"/>
    <col min="11269" max="11521" width="9.109375" style="3"/>
    <col min="11522" max="11522" width="3" style="3" customWidth="1"/>
    <col min="11523" max="11523" width="59.33203125" style="3" bestFit="1" customWidth="1"/>
    <col min="11524" max="11524" width="2.33203125" style="3" customWidth="1"/>
    <col min="11525" max="11777" width="9.109375" style="3"/>
    <col min="11778" max="11778" width="3" style="3" customWidth="1"/>
    <col min="11779" max="11779" width="59.33203125" style="3" bestFit="1" customWidth="1"/>
    <col min="11780" max="11780" width="2.33203125" style="3" customWidth="1"/>
    <col min="11781" max="12033" width="9.109375" style="3"/>
    <col min="12034" max="12034" width="3" style="3" customWidth="1"/>
    <col min="12035" max="12035" width="59.33203125" style="3" bestFit="1" customWidth="1"/>
    <col min="12036" max="12036" width="2.33203125" style="3" customWidth="1"/>
    <col min="12037" max="12289" width="9.109375" style="3"/>
    <col min="12290" max="12290" width="3" style="3" customWidth="1"/>
    <col min="12291" max="12291" width="59.33203125" style="3" bestFit="1" customWidth="1"/>
    <col min="12292" max="12292" width="2.33203125" style="3" customWidth="1"/>
    <col min="12293" max="12545" width="9.109375" style="3"/>
    <col min="12546" max="12546" width="3" style="3" customWidth="1"/>
    <col min="12547" max="12547" width="59.33203125" style="3" bestFit="1" customWidth="1"/>
    <col min="12548" max="12548" width="2.33203125" style="3" customWidth="1"/>
    <col min="12549" max="12801" width="9.109375" style="3"/>
    <col min="12802" max="12802" width="3" style="3" customWidth="1"/>
    <col min="12803" max="12803" width="59.33203125" style="3" bestFit="1" customWidth="1"/>
    <col min="12804" max="12804" width="2.33203125" style="3" customWidth="1"/>
    <col min="12805" max="13057" width="9.109375" style="3"/>
    <col min="13058" max="13058" width="3" style="3" customWidth="1"/>
    <col min="13059" max="13059" width="59.33203125" style="3" bestFit="1" customWidth="1"/>
    <col min="13060" max="13060" width="2.33203125" style="3" customWidth="1"/>
    <col min="13061" max="13313" width="9.109375" style="3"/>
    <col min="13314" max="13314" width="3" style="3" customWidth="1"/>
    <col min="13315" max="13315" width="59.33203125" style="3" bestFit="1" customWidth="1"/>
    <col min="13316" max="13316" width="2.33203125" style="3" customWidth="1"/>
    <col min="13317" max="13569" width="9.109375" style="3"/>
    <col min="13570" max="13570" width="3" style="3" customWidth="1"/>
    <col min="13571" max="13571" width="59.33203125" style="3" bestFit="1" customWidth="1"/>
    <col min="13572" max="13572" width="2.33203125" style="3" customWidth="1"/>
    <col min="13573" max="13825" width="9.109375" style="3"/>
    <col min="13826" max="13826" width="3" style="3" customWidth="1"/>
    <col min="13827" max="13827" width="59.33203125" style="3" bestFit="1" customWidth="1"/>
    <col min="13828" max="13828" width="2.33203125" style="3" customWidth="1"/>
    <col min="13829" max="14081" width="9.109375" style="3"/>
    <col min="14082" max="14082" width="3" style="3" customWidth="1"/>
    <col min="14083" max="14083" width="59.33203125" style="3" bestFit="1" customWidth="1"/>
    <col min="14084" max="14084" width="2.33203125" style="3" customWidth="1"/>
    <col min="14085" max="14337" width="9.109375" style="3"/>
    <col min="14338" max="14338" width="3" style="3" customWidth="1"/>
    <col min="14339" max="14339" width="59.33203125" style="3" bestFit="1" customWidth="1"/>
    <col min="14340" max="14340" width="2.33203125" style="3" customWidth="1"/>
    <col min="14341" max="14593" width="9.109375" style="3"/>
    <col min="14594" max="14594" width="3" style="3" customWidth="1"/>
    <col min="14595" max="14595" width="59.33203125" style="3" bestFit="1" customWidth="1"/>
    <col min="14596" max="14596" width="2.33203125" style="3" customWidth="1"/>
    <col min="14597" max="14849" width="9.109375" style="3"/>
    <col min="14850" max="14850" width="3" style="3" customWidth="1"/>
    <col min="14851" max="14851" width="59.33203125" style="3" bestFit="1" customWidth="1"/>
    <col min="14852" max="14852" width="2.33203125" style="3" customWidth="1"/>
    <col min="14853" max="15105" width="9.109375" style="3"/>
    <col min="15106" max="15106" width="3" style="3" customWidth="1"/>
    <col min="15107" max="15107" width="59.33203125" style="3" bestFit="1" customWidth="1"/>
    <col min="15108" max="15108" width="2.33203125" style="3" customWidth="1"/>
    <col min="15109" max="15361" width="9.109375" style="3"/>
    <col min="15362" max="15362" width="3" style="3" customWidth="1"/>
    <col min="15363" max="15363" width="59.33203125" style="3" bestFit="1" customWidth="1"/>
    <col min="15364" max="15364" width="2.33203125" style="3" customWidth="1"/>
    <col min="15365" max="15617" width="9.109375" style="3"/>
    <col min="15618" max="15618" width="3" style="3" customWidth="1"/>
    <col min="15619" max="15619" width="59.33203125" style="3" bestFit="1" customWidth="1"/>
    <col min="15620" max="15620" width="2.33203125" style="3" customWidth="1"/>
    <col min="15621" max="15873" width="9.109375" style="3"/>
    <col min="15874" max="15874" width="3" style="3" customWidth="1"/>
    <col min="15875" max="15875" width="59.33203125" style="3" bestFit="1" customWidth="1"/>
    <col min="15876" max="15876" width="2.33203125" style="3" customWidth="1"/>
    <col min="15877" max="16129" width="9.109375" style="3"/>
    <col min="16130" max="16130" width="3" style="3" customWidth="1"/>
    <col min="16131" max="16131" width="59.33203125" style="3" bestFit="1" customWidth="1"/>
    <col min="16132" max="16132" width="2.33203125" style="3" customWidth="1"/>
    <col min="16133" max="16384" width="9.109375" style="3"/>
  </cols>
  <sheetData>
    <row r="1" spans="1:194" x14ac:dyDescent="0.3">
      <c r="T1" s="1"/>
      <c r="U1" s="1"/>
      <c r="V1" s="2"/>
      <c r="AJ1" s="4"/>
      <c r="AK1" s="4"/>
      <c r="AL1" s="5"/>
      <c r="AM1" s="5"/>
      <c r="AN1" s="6"/>
      <c r="AO1" s="4"/>
      <c r="AP1" s="4"/>
      <c r="AQ1" s="4"/>
      <c r="AR1" s="4"/>
      <c r="AS1" s="4"/>
      <c r="AT1" s="4"/>
      <c r="AU1" s="4"/>
      <c r="AV1" s="4"/>
      <c r="AW1" s="4"/>
      <c r="AX1" s="4"/>
      <c r="AY1" s="4"/>
      <c r="BB1" s="4"/>
      <c r="BC1" s="4"/>
      <c r="BD1" s="5"/>
      <c r="BE1" s="5"/>
      <c r="BF1" s="6"/>
      <c r="BG1" s="4"/>
      <c r="BH1" s="4"/>
      <c r="BI1" s="4"/>
      <c r="BJ1" s="4"/>
      <c r="BK1" s="4"/>
      <c r="BL1" s="4"/>
      <c r="BM1" s="4"/>
      <c r="BN1" s="4"/>
      <c r="BO1" s="4"/>
      <c r="BP1" s="4"/>
      <c r="BQ1" s="4"/>
      <c r="BT1" s="4"/>
      <c r="BU1" s="4"/>
      <c r="BV1" s="5"/>
      <c r="BW1" s="5"/>
      <c r="BX1" s="6"/>
      <c r="BY1" s="4"/>
      <c r="BZ1" s="4"/>
      <c r="CA1" s="4"/>
      <c r="CB1" s="4"/>
      <c r="CC1" s="4"/>
      <c r="CD1" s="4"/>
      <c r="CE1" s="4"/>
      <c r="CF1" s="4"/>
      <c r="CG1" s="4"/>
      <c r="CH1" s="4"/>
      <c r="CI1" s="4"/>
      <c r="CL1" s="4"/>
      <c r="CM1" s="4"/>
      <c r="CN1" s="5"/>
      <c r="CO1" s="5"/>
      <c r="CP1" s="6"/>
      <c r="CQ1" s="4"/>
      <c r="CR1" s="4"/>
      <c r="CS1" s="4"/>
      <c r="CT1" s="4"/>
      <c r="CU1" s="4"/>
      <c r="CV1" s="4"/>
      <c r="CW1" s="4"/>
      <c r="CX1" s="4"/>
      <c r="CY1" s="4"/>
      <c r="CZ1" s="4"/>
      <c r="DA1" s="4"/>
      <c r="DD1" s="4"/>
      <c r="DE1" s="4"/>
      <c r="DF1" s="5"/>
      <c r="DG1" s="5"/>
      <c r="DH1" s="6"/>
      <c r="DI1" s="4"/>
      <c r="DJ1" s="4"/>
      <c r="DK1" s="4"/>
      <c r="DL1" s="4"/>
      <c r="DM1" s="4"/>
      <c r="DN1" s="4"/>
      <c r="DO1" s="4"/>
      <c r="DP1" s="4"/>
      <c r="DQ1" s="4"/>
      <c r="DR1" s="4"/>
      <c r="DS1" s="4"/>
      <c r="DW1" s="24"/>
      <c r="DX1" s="57"/>
      <c r="DY1" s="57"/>
      <c r="DZ1" s="57"/>
      <c r="EA1" s="57"/>
      <c r="EB1" s="57"/>
      <c r="EC1" s="57"/>
      <c r="ED1" s="57"/>
      <c r="EE1" s="57"/>
      <c r="EF1" s="57"/>
      <c r="EG1" s="57"/>
      <c r="EH1" s="57"/>
      <c r="EI1" s="57"/>
      <c r="EJ1" s="58"/>
      <c r="EK1" s="58"/>
      <c r="EL1" s="58"/>
      <c r="EM1" s="58"/>
      <c r="EN1" s="58"/>
    </row>
    <row r="2" spans="1:194" ht="17.399999999999999" customHeight="1" x14ac:dyDescent="0.3">
      <c r="S2" s="4"/>
      <c r="T2" s="5"/>
      <c r="U2" s="5"/>
      <c r="V2" s="6"/>
      <c r="W2" s="4"/>
      <c r="X2" s="4"/>
      <c r="Y2" s="4"/>
      <c r="Z2" s="4"/>
      <c r="AA2" s="4"/>
      <c r="AB2" s="4"/>
      <c r="AC2" s="4"/>
      <c r="AD2" s="4"/>
      <c r="AE2" s="4"/>
      <c r="AF2" s="4"/>
      <c r="AG2" s="4"/>
      <c r="AJ2" s="4"/>
      <c r="AK2" s="4"/>
      <c r="AL2" s="5"/>
      <c r="AM2" s="5"/>
      <c r="AN2" s="6"/>
      <c r="AO2" s="4"/>
      <c r="AP2" s="4"/>
      <c r="AQ2" s="4"/>
      <c r="AR2" s="4"/>
      <c r="AS2" s="4"/>
      <c r="AT2" s="4"/>
      <c r="AU2" s="4"/>
      <c r="AV2" s="4"/>
      <c r="AW2" s="4"/>
      <c r="AX2" s="4"/>
      <c r="AY2" s="4"/>
      <c r="BB2" s="4"/>
      <c r="BC2" s="4"/>
      <c r="BD2" s="5"/>
      <c r="BE2" s="5"/>
      <c r="BF2" s="6"/>
      <c r="BG2" s="4"/>
      <c r="BH2" s="4"/>
      <c r="BI2" s="4"/>
      <c r="BJ2" s="4"/>
      <c r="BK2" s="4"/>
      <c r="BL2" s="4"/>
      <c r="BM2" s="4"/>
      <c r="BN2" s="4"/>
      <c r="BO2" s="4"/>
      <c r="BP2" s="4"/>
      <c r="BQ2" s="4"/>
      <c r="BT2" s="4"/>
      <c r="BU2" s="4"/>
      <c r="BV2" s="5"/>
      <c r="BW2" s="5"/>
      <c r="BX2" s="6"/>
      <c r="BY2" s="4"/>
      <c r="BZ2" s="4"/>
      <c r="CA2" s="4"/>
      <c r="CB2" s="4"/>
      <c r="CC2" s="4"/>
      <c r="CD2" s="4"/>
      <c r="CE2" s="4"/>
      <c r="CF2" s="4"/>
      <c r="CG2" s="4"/>
      <c r="CH2" s="4"/>
      <c r="CI2" s="4"/>
      <c r="CL2" s="4"/>
      <c r="CM2" s="4"/>
      <c r="CN2" s="5"/>
      <c r="CO2" s="5"/>
      <c r="CP2" s="6"/>
      <c r="CQ2" s="4"/>
      <c r="CR2" s="4"/>
      <c r="CS2" s="4"/>
      <c r="CT2" s="4"/>
      <c r="CU2" s="4"/>
      <c r="CV2" s="4"/>
      <c r="CW2" s="4"/>
      <c r="CX2" s="4"/>
      <c r="CY2" s="4"/>
      <c r="CZ2" s="4"/>
      <c r="DA2" s="4"/>
      <c r="DD2" s="4"/>
      <c r="DE2" s="4"/>
      <c r="DF2" s="5"/>
      <c r="DG2" s="5"/>
      <c r="DH2" s="6"/>
      <c r="DI2" s="4"/>
      <c r="DJ2" s="4"/>
      <c r="DK2" s="4"/>
      <c r="DL2" s="4"/>
      <c r="DM2" s="4"/>
      <c r="DN2" s="4"/>
      <c r="DO2" s="4"/>
      <c r="DP2" s="4"/>
      <c r="DQ2" s="4"/>
      <c r="DR2" s="4"/>
      <c r="DS2" s="4"/>
      <c r="DW2" s="27"/>
      <c r="DX2" s="59"/>
      <c r="DY2" s="59"/>
      <c r="DZ2" s="59"/>
      <c r="EA2" s="59"/>
      <c r="EB2" s="59"/>
      <c r="EC2" s="59"/>
      <c r="ED2" s="59"/>
      <c r="EE2" s="59"/>
      <c r="EF2" s="59"/>
      <c r="EG2" s="59"/>
      <c r="EH2" s="59"/>
      <c r="EI2" s="59"/>
      <c r="EJ2" s="58"/>
      <c r="EK2" s="58"/>
      <c r="EL2" s="58"/>
      <c r="EM2" s="58"/>
      <c r="EN2" s="58"/>
    </row>
    <row r="3" spans="1:194" s="9" customFormat="1" ht="34.950000000000003" customHeight="1" x14ac:dyDescent="0.3">
      <c r="A3" s="53" t="s">
        <v>154</v>
      </c>
      <c r="B3" s="7" t="s">
        <v>0</v>
      </c>
      <c r="C3" s="8"/>
      <c r="D3" s="2"/>
      <c r="S3" s="53" t="s">
        <v>155</v>
      </c>
      <c r="T3" s="140" t="s">
        <v>12</v>
      </c>
      <c r="U3" s="140"/>
      <c r="V3" s="140"/>
      <c r="W3" s="140"/>
      <c r="X3" s="10"/>
      <c r="Y3" s="10"/>
      <c r="Z3" s="10"/>
      <c r="AA3" s="10"/>
      <c r="AB3" s="10"/>
      <c r="AC3" s="10"/>
      <c r="AD3" s="10"/>
      <c r="AE3" s="10"/>
      <c r="AF3" s="10"/>
      <c r="AG3" s="10"/>
      <c r="AJ3" s="10"/>
      <c r="AK3" s="53" t="s">
        <v>156</v>
      </c>
      <c r="AL3" s="11" t="s">
        <v>22</v>
      </c>
      <c r="AM3" s="12"/>
      <c r="AN3" s="6"/>
      <c r="AO3" s="10"/>
      <c r="AP3" s="10"/>
      <c r="AQ3" s="10"/>
      <c r="AR3" s="10"/>
      <c r="AS3" s="10"/>
      <c r="AT3" s="10"/>
      <c r="AU3" s="10"/>
      <c r="AV3" s="10"/>
      <c r="AW3" s="10"/>
      <c r="AX3" s="10"/>
      <c r="AY3" s="10"/>
      <c r="BB3" s="10"/>
      <c r="BC3" s="53" t="s">
        <v>157</v>
      </c>
      <c r="BD3" s="141" t="s">
        <v>32</v>
      </c>
      <c r="BE3" s="141"/>
      <c r="BF3" s="141"/>
      <c r="BG3" s="10"/>
      <c r="BH3" s="10"/>
      <c r="BI3" s="10"/>
      <c r="BJ3" s="10"/>
      <c r="BK3" s="10"/>
      <c r="BL3" s="10"/>
      <c r="BM3" s="10"/>
      <c r="BN3" s="10"/>
      <c r="BO3" s="10"/>
      <c r="BP3" s="10"/>
      <c r="BQ3" s="10"/>
      <c r="BT3" s="13"/>
      <c r="BU3" s="53" t="s">
        <v>158</v>
      </c>
      <c r="BV3" s="11" t="s">
        <v>42</v>
      </c>
      <c r="BW3" s="14"/>
      <c r="BX3" s="6"/>
      <c r="BY3" s="13"/>
      <c r="BZ3" s="13"/>
      <c r="CA3" s="13"/>
      <c r="CB3" s="13"/>
      <c r="CC3" s="13"/>
      <c r="CD3" s="13"/>
      <c r="CE3" s="13"/>
      <c r="CF3" s="13"/>
      <c r="CG3" s="13"/>
      <c r="CH3" s="13"/>
      <c r="CI3" s="13"/>
      <c r="CL3" s="13"/>
      <c r="CM3" s="53" t="s">
        <v>159</v>
      </c>
      <c r="CN3" s="141" t="s">
        <v>52</v>
      </c>
      <c r="CO3" s="141"/>
      <c r="CP3" s="141"/>
      <c r="CQ3" s="141"/>
      <c r="CR3" s="11"/>
      <c r="CS3" s="11"/>
      <c r="CT3" s="11"/>
      <c r="CU3" s="13"/>
      <c r="CV3" s="13"/>
      <c r="CW3" s="13"/>
      <c r="CX3" s="13"/>
      <c r="CY3" s="13"/>
      <c r="CZ3" s="13"/>
      <c r="DA3" s="13"/>
      <c r="DD3" s="13"/>
      <c r="DE3" s="53" t="s">
        <v>160</v>
      </c>
      <c r="DF3" s="141" t="s">
        <v>62</v>
      </c>
      <c r="DG3" s="141"/>
      <c r="DH3" s="141"/>
      <c r="DI3" s="141"/>
      <c r="DJ3" s="11"/>
      <c r="DK3" s="11"/>
      <c r="DL3" s="13"/>
      <c r="DM3" s="13"/>
      <c r="DN3" s="13"/>
      <c r="DO3" s="13"/>
      <c r="DP3" s="13"/>
      <c r="DQ3" s="13"/>
      <c r="DR3" s="13"/>
      <c r="DS3" s="13"/>
      <c r="DW3" s="27"/>
      <c r="DX3" s="142" t="str">
        <f>CONCATENATE("Results Belbin test per section of ",Start!C3)</f>
        <v xml:space="preserve">Results Belbin test per section of </v>
      </c>
      <c r="DY3" s="142"/>
      <c r="DZ3" s="142"/>
      <c r="EA3" s="142"/>
      <c r="EB3" s="142"/>
      <c r="EC3" s="142"/>
      <c r="ED3" s="142"/>
      <c r="EE3" s="142"/>
      <c r="EF3" s="142"/>
      <c r="EG3" s="142"/>
      <c r="EH3" s="142"/>
      <c r="EI3" s="59"/>
      <c r="EJ3" s="60"/>
      <c r="EK3" s="60"/>
      <c r="EL3" s="60"/>
      <c r="EM3" s="60"/>
      <c r="EN3" s="60"/>
    </row>
    <row r="4" spans="1:194" ht="18" thickBot="1" x14ac:dyDescent="0.35">
      <c r="S4" s="4"/>
      <c r="T4" s="15"/>
      <c r="U4" s="15"/>
      <c r="V4" s="6"/>
      <c r="W4" s="4"/>
      <c r="X4" s="4"/>
      <c r="Y4" s="4"/>
      <c r="Z4" s="4"/>
      <c r="AA4" s="4"/>
      <c r="AB4" s="4"/>
      <c r="AC4" s="4"/>
      <c r="AD4" s="4"/>
      <c r="AE4" s="4"/>
      <c r="AF4" s="4"/>
      <c r="AG4" s="4"/>
      <c r="AJ4" s="4"/>
      <c r="AK4" s="4"/>
      <c r="AL4" s="15"/>
      <c r="AM4" s="15"/>
      <c r="AN4" s="6"/>
      <c r="AO4" s="4"/>
      <c r="AP4" s="4"/>
      <c r="AQ4" s="4"/>
      <c r="AR4" s="4"/>
      <c r="AS4" s="4"/>
      <c r="AT4" s="4"/>
      <c r="AU4" s="4"/>
      <c r="AV4" s="4"/>
      <c r="AW4" s="4"/>
      <c r="AX4" s="4"/>
      <c r="AY4" s="4"/>
      <c r="BB4" s="4"/>
      <c r="BC4" s="4"/>
      <c r="BD4" s="15"/>
      <c r="BE4" s="15"/>
      <c r="BF4" s="6"/>
      <c r="BG4" s="4"/>
      <c r="BH4" s="4"/>
      <c r="BI4" s="4"/>
      <c r="BJ4" s="4"/>
      <c r="BK4" s="4"/>
      <c r="BL4" s="4"/>
      <c r="BM4" s="4"/>
      <c r="BN4" s="4"/>
      <c r="BO4" s="4"/>
      <c r="BP4" s="4"/>
      <c r="BQ4" s="4"/>
      <c r="BT4" s="4"/>
      <c r="BU4" s="4"/>
      <c r="BV4" s="15"/>
      <c r="BW4" s="15"/>
      <c r="BX4" s="6"/>
      <c r="BY4" s="4"/>
      <c r="BZ4" s="4"/>
      <c r="CA4" s="4"/>
      <c r="CB4" s="4"/>
      <c r="CC4" s="4"/>
      <c r="CD4" s="4"/>
      <c r="CE4" s="4"/>
      <c r="CF4" s="4"/>
      <c r="CG4" s="4"/>
      <c r="CH4" s="4"/>
      <c r="CI4" s="4"/>
      <c r="CL4" s="4"/>
      <c r="CM4" s="4"/>
      <c r="CN4" s="15"/>
      <c r="CO4" s="15"/>
      <c r="CP4" s="6"/>
      <c r="CQ4" s="4"/>
      <c r="CR4" s="4"/>
      <c r="CS4" s="4"/>
      <c r="CT4" s="4"/>
      <c r="CU4" s="4"/>
      <c r="CV4" s="4"/>
      <c r="CW4" s="4"/>
      <c r="CX4" s="4"/>
      <c r="CY4" s="4"/>
      <c r="CZ4" s="4"/>
      <c r="DA4" s="4"/>
      <c r="DD4" s="4"/>
      <c r="DE4" s="4"/>
      <c r="DF4" s="15"/>
      <c r="DG4" s="15"/>
      <c r="DH4" s="6"/>
      <c r="DI4" s="4"/>
      <c r="DJ4" s="4"/>
      <c r="DK4" s="4"/>
      <c r="DL4" s="4"/>
      <c r="DM4" s="4"/>
      <c r="DN4" s="4"/>
      <c r="DO4" s="4"/>
      <c r="DP4" s="4"/>
      <c r="DQ4" s="4"/>
      <c r="DR4" s="4"/>
      <c r="DS4" s="4"/>
      <c r="DW4" s="27"/>
      <c r="DX4" s="137" t="s">
        <v>72</v>
      </c>
      <c r="DY4" s="138"/>
      <c r="DZ4" s="137" t="s">
        <v>73</v>
      </c>
      <c r="EA4" s="139"/>
      <c r="EB4" s="139"/>
      <c r="EC4" s="139"/>
      <c r="ED4" s="139"/>
      <c r="EE4" s="139"/>
      <c r="EF4" s="139"/>
      <c r="EG4" s="139"/>
      <c r="EH4" s="138"/>
      <c r="EI4" s="59"/>
      <c r="EJ4" s="59"/>
      <c r="EK4" s="130" t="s">
        <v>81</v>
      </c>
      <c r="EL4" s="131"/>
      <c r="EM4" s="131"/>
      <c r="EN4" s="132"/>
      <c r="EU4" s="28"/>
      <c r="EV4" s="28">
        <f>Start!C3</f>
        <v>0</v>
      </c>
    </row>
    <row r="5" spans="1:194" s="17" customFormat="1" ht="31.95" customHeight="1" thickTop="1" thickBot="1" x14ac:dyDescent="0.35">
      <c r="B5" s="16" t="s">
        <v>1</v>
      </c>
      <c r="C5" s="16"/>
      <c r="D5" s="41"/>
      <c r="F5" s="133" t="s">
        <v>2</v>
      </c>
      <c r="G5" s="134"/>
      <c r="H5" s="134"/>
      <c r="I5" s="134"/>
      <c r="J5" s="134"/>
      <c r="K5" s="134"/>
      <c r="L5" s="134"/>
      <c r="M5" s="134"/>
      <c r="N5" s="134"/>
      <c r="S5" s="18"/>
      <c r="T5" s="19" t="s">
        <v>13</v>
      </c>
      <c r="U5" s="19"/>
      <c r="V5" s="41"/>
      <c r="W5" s="18"/>
      <c r="X5" s="135" t="s">
        <v>2</v>
      </c>
      <c r="Y5" s="136"/>
      <c r="Z5" s="136"/>
      <c r="AA5" s="136"/>
      <c r="AB5" s="136"/>
      <c r="AC5" s="136"/>
      <c r="AD5" s="136"/>
      <c r="AE5" s="136"/>
      <c r="AF5" s="136"/>
      <c r="AG5" s="18"/>
      <c r="AJ5" s="18"/>
      <c r="AK5" s="18"/>
      <c r="AL5" s="19" t="s">
        <v>23</v>
      </c>
      <c r="AM5" s="19"/>
      <c r="AN5" s="41"/>
      <c r="AO5" s="18"/>
      <c r="AP5" s="135" t="s">
        <v>2</v>
      </c>
      <c r="AQ5" s="136"/>
      <c r="AR5" s="136"/>
      <c r="AS5" s="136"/>
      <c r="AT5" s="136"/>
      <c r="AU5" s="136"/>
      <c r="AV5" s="136"/>
      <c r="AW5" s="136"/>
      <c r="AX5" s="136"/>
      <c r="AY5" s="18"/>
      <c r="BB5" s="18"/>
      <c r="BC5" s="18"/>
      <c r="BD5" s="19" t="s">
        <v>33</v>
      </c>
      <c r="BE5" s="19"/>
      <c r="BF5" s="41"/>
      <c r="BG5" s="18"/>
      <c r="BH5" s="135" t="s">
        <v>2</v>
      </c>
      <c r="BI5" s="136"/>
      <c r="BJ5" s="136"/>
      <c r="BK5" s="136"/>
      <c r="BL5" s="136"/>
      <c r="BM5" s="136"/>
      <c r="BN5" s="136"/>
      <c r="BO5" s="136"/>
      <c r="BP5" s="136"/>
      <c r="BQ5" s="18"/>
      <c r="BT5" s="18"/>
      <c r="BU5" s="18"/>
      <c r="BV5" s="19" t="s">
        <v>43</v>
      </c>
      <c r="BW5" s="19"/>
      <c r="BX5" s="41"/>
      <c r="BY5" s="18"/>
      <c r="BZ5" s="135" t="s">
        <v>2</v>
      </c>
      <c r="CA5" s="136"/>
      <c r="CB5" s="136"/>
      <c r="CC5" s="136"/>
      <c r="CD5" s="136"/>
      <c r="CE5" s="136"/>
      <c r="CF5" s="136"/>
      <c r="CG5" s="136"/>
      <c r="CH5" s="136"/>
      <c r="CI5" s="18"/>
      <c r="CL5" s="18"/>
      <c r="CM5" s="18"/>
      <c r="CN5" s="19" t="s">
        <v>53</v>
      </c>
      <c r="CO5" s="19"/>
      <c r="CP5" s="41"/>
      <c r="CQ5" s="18"/>
      <c r="CR5" s="135" t="s">
        <v>2</v>
      </c>
      <c r="CS5" s="136"/>
      <c r="CT5" s="136"/>
      <c r="CU5" s="136"/>
      <c r="CV5" s="136"/>
      <c r="CW5" s="136"/>
      <c r="CX5" s="136"/>
      <c r="CY5" s="136"/>
      <c r="CZ5" s="136"/>
      <c r="DA5" s="18"/>
      <c r="DD5" s="4"/>
      <c r="DE5" s="4"/>
      <c r="DF5" s="15" t="s">
        <v>63</v>
      </c>
      <c r="DG5" s="15"/>
      <c r="DH5" s="41"/>
      <c r="DI5" s="4"/>
      <c r="DJ5" s="135" t="s">
        <v>2</v>
      </c>
      <c r="DK5" s="136"/>
      <c r="DL5" s="136"/>
      <c r="DM5" s="136"/>
      <c r="DN5" s="136"/>
      <c r="DO5" s="136"/>
      <c r="DP5" s="136"/>
      <c r="DQ5" s="136"/>
      <c r="DR5" s="136"/>
      <c r="DS5" s="4"/>
      <c r="DW5" s="27"/>
      <c r="DX5" s="56" t="s">
        <v>74</v>
      </c>
      <c r="DY5" s="56"/>
      <c r="DZ5" s="80">
        <f>D9</f>
        <v>0</v>
      </c>
      <c r="EA5" s="80">
        <f>D13</f>
        <v>0</v>
      </c>
      <c r="EB5" s="80">
        <f>D21</f>
        <v>0</v>
      </c>
      <c r="EC5" s="80">
        <f>D19</f>
        <v>0</v>
      </c>
      <c r="ED5" s="80">
        <f>D5</f>
        <v>0</v>
      </c>
      <c r="EE5" s="80">
        <f>D17</f>
        <v>0</v>
      </c>
      <c r="EF5" s="80">
        <f>D7</f>
        <v>0</v>
      </c>
      <c r="EG5" s="80">
        <f>D11</f>
        <v>0</v>
      </c>
      <c r="EH5" s="80">
        <f>D15</f>
        <v>0</v>
      </c>
      <c r="EI5" s="59"/>
      <c r="EJ5" s="61"/>
      <c r="EK5" s="62" t="s">
        <v>82</v>
      </c>
      <c r="EL5" s="63"/>
      <c r="EM5" s="64">
        <f>DZ19</f>
        <v>0</v>
      </c>
      <c r="EN5" s="65"/>
      <c r="EO5" s="26"/>
      <c r="EU5" s="54" t="str">
        <f>EK5</f>
        <v>Implementor</v>
      </c>
      <c r="EV5" s="54">
        <f>EM5</f>
        <v>0</v>
      </c>
    </row>
    <row r="6" spans="1:194" ht="4.95" customHeight="1" thickTop="1" thickBot="1" x14ac:dyDescent="0.35">
      <c r="F6" s="134"/>
      <c r="G6" s="134"/>
      <c r="H6" s="134"/>
      <c r="I6" s="134"/>
      <c r="J6" s="134"/>
      <c r="K6" s="134"/>
      <c r="L6" s="134"/>
      <c r="M6" s="134"/>
      <c r="N6" s="134"/>
      <c r="S6" s="4"/>
      <c r="T6" s="15"/>
      <c r="U6" s="15"/>
      <c r="V6" s="2"/>
      <c r="W6" s="4"/>
      <c r="X6" s="136"/>
      <c r="Y6" s="136"/>
      <c r="Z6" s="136"/>
      <c r="AA6" s="136"/>
      <c r="AB6" s="136"/>
      <c r="AC6" s="136"/>
      <c r="AD6" s="136"/>
      <c r="AE6" s="136"/>
      <c r="AF6" s="136"/>
      <c r="AG6" s="4"/>
      <c r="AJ6" s="4"/>
      <c r="AK6" s="4"/>
      <c r="AL6" s="15"/>
      <c r="AM6" s="15"/>
      <c r="AN6" s="2"/>
      <c r="AO6" s="4"/>
      <c r="AP6" s="136"/>
      <c r="AQ6" s="136"/>
      <c r="AR6" s="136"/>
      <c r="AS6" s="136"/>
      <c r="AT6" s="136"/>
      <c r="AU6" s="136"/>
      <c r="AV6" s="136"/>
      <c r="AW6" s="136"/>
      <c r="AX6" s="136"/>
      <c r="AY6" s="4"/>
      <c r="BB6" s="4"/>
      <c r="BC6" s="4"/>
      <c r="BD6" s="15"/>
      <c r="BE6" s="15"/>
      <c r="BF6" s="2"/>
      <c r="BG6" s="4"/>
      <c r="BH6" s="136"/>
      <c r="BI6" s="136"/>
      <c r="BJ6" s="136"/>
      <c r="BK6" s="136"/>
      <c r="BL6" s="136"/>
      <c r="BM6" s="136"/>
      <c r="BN6" s="136"/>
      <c r="BO6" s="136"/>
      <c r="BP6" s="136"/>
      <c r="BQ6" s="4"/>
      <c r="BT6" s="4"/>
      <c r="BU6" s="4"/>
      <c r="BV6" s="15"/>
      <c r="BW6" s="15"/>
      <c r="BX6" s="2"/>
      <c r="BY6" s="4"/>
      <c r="BZ6" s="136"/>
      <c r="CA6" s="136"/>
      <c r="CB6" s="136"/>
      <c r="CC6" s="136"/>
      <c r="CD6" s="136"/>
      <c r="CE6" s="136"/>
      <c r="CF6" s="136"/>
      <c r="CG6" s="136"/>
      <c r="CH6" s="136"/>
      <c r="CI6" s="4"/>
      <c r="CL6" s="4"/>
      <c r="CM6" s="4"/>
      <c r="CN6" s="15"/>
      <c r="CO6" s="15"/>
      <c r="CP6" s="2"/>
      <c r="CQ6" s="4"/>
      <c r="CR6" s="136"/>
      <c r="CS6" s="136"/>
      <c r="CT6" s="136"/>
      <c r="CU6" s="136"/>
      <c r="CV6" s="136"/>
      <c r="CW6" s="136"/>
      <c r="CX6" s="136"/>
      <c r="CY6" s="136"/>
      <c r="CZ6" s="136"/>
      <c r="DA6" s="4"/>
      <c r="DD6" s="4"/>
      <c r="DE6" s="4"/>
      <c r="DF6" s="15"/>
      <c r="DG6" s="15"/>
      <c r="DH6" s="2"/>
      <c r="DI6" s="4"/>
      <c r="DJ6" s="136"/>
      <c r="DK6" s="136"/>
      <c r="DL6" s="136"/>
      <c r="DM6" s="136"/>
      <c r="DN6" s="136"/>
      <c r="DO6" s="136"/>
      <c r="DP6" s="136"/>
      <c r="DQ6" s="136"/>
      <c r="DR6" s="136"/>
      <c r="DS6" s="4"/>
      <c r="DW6" s="27"/>
      <c r="DX6" s="66"/>
      <c r="DY6" s="66"/>
      <c r="DZ6" s="66"/>
      <c r="EA6" s="66"/>
      <c r="EB6" s="66"/>
      <c r="EC6" s="66"/>
      <c r="ED6" s="66"/>
      <c r="EE6" s="66"/>
      <c r="EF6" s="66"/>
      <c r="EG6" s="66"/>
      <c r="EH6" s="66"/>
      <c r="EI6" s="59"/>
      <c r="EJ6" s="58"/>
      <c r="EK6" s="67"/>
      <c r="EL6" s="58"/>
      <c r="EM6" s="64"/>
      <c r="EN6" s="68"/>
      <c r="EO6" s="25"/>
      <c r="EU6" s="54" t="str">
        <f>EK7</f>
        <v>Coordinator</v>
      </c>
      <c r="EV6" s="54">
        <f>EM7</f>
        <v>0</v>
      </c>
    </row>
    <row r="7" spans="1:194" s="17" customFormat="1" ht="31.95" customHeight="1" thickTop="1" thickBot="1" x14ac:dyDescent="0.35">
      <c r="B7" s="16" t="s">
        <v>3</v>
      </c>
      <c r="C7" s="16"/>
      <c r="D7" s="41"/>
      <c r="F7" s="134"/>
      <c r="G7" s="134"/>
      <c r="H7" s="134"/>
      <c r="I7" s="134"/>
      <c r="J7" s="134"/>
      <c r="K7" s="134"/>
      <c r="L7" s="134"/>
      <c r="M7" s="134"/>
      <c r="N7" s="134"/>
      <c r="S7" s="18"/>
      <c r="T7" s="19" t="s">
        <v>14</v>
      </c>
      <c r="U7" s="19"/>
      <c r="V7" s="41"/>
      <c r="W7" s="18"/>
      <c r="X7" s="136"/>
      <c r="Y7" s="136"/>
      <c r="Z7" s="136"/>
      <c r="AA7" s="136"/>
      <c r="AB7" s="136"/>
      <c r="AC7" s="136"/>
      <c r="AD7" s="136"/>
      <c r="AE7" s="136"/>
      <c r="AF7" s="136"/>
      <c r="AG7" s="18"/>
      <c r="AJ7" s="18"/>
      <c r="AK7" s="18"/>
      <c r="AL7" s="19" t="s">
        <v>24</v>
      </c>
      <c r="AM7" s="19"/>
      <c r="AN7" s="41"/>
      <c r="AO7" s="18"/>
      <c r="AP7" s="136"/>
      <c r="AQ7" s="136"/>
      <c r="AR7" s="136"/>
      <c r="AS7" s="136"/>
      <c r="AT7" s="136"/>
      <c r="AU7" s="136"/>
      <c r="AV7" s="136"/>
      <c r="AW7" s="136"/>
      <c r="AX7" s="136"/>
      <c r="AY7" s="18"/>
      <c r="BB7" s="18"/>
      <c r="BC7" s="18"/>
      <c r="BD7" s="19" t="s">
        <v>34</v>
      </c>
      <c r="BE7" s="19"/>
      <c r="BF7" s="41"/>
      <c r="BG7" s="18"/>
      <c r="BH7" s="136"/>
      <c r="BI7" s="136"/>
      <c r="BJ7" s="136"/>
      <c r="BK7" s="136"/>
      <c r="BL7" s="136"/>
      <c r="BM7" s="136"/>
      <c r="BN7" s="136"/>
      <c r="BO7" s="136"/>
      <c r="BP7" s="136"/>
      <c r="BQ7" s="18"/>
      <c r="BT7" s="18"/>
      <c r="BU7" s="18"/>
      <c r="BV7" s="19" t="s">
        <v>44</v>
      </c>
      <c r="BW7" s="19"/>
      <c r="BX7" s="41"/>
      <c r="BY7" s="18"/>
      <c r="BZ7" s="136"/>
      <c r="CA7" s="136"/>
      <c r="CB7" s="136"/>
      <c r="CC7" s="136"/>
      <c r="CD7" s="136"/>
      <c r="CE7" s="136"/>
      <c r="CF7" s="136"/>
      <c r="CG7" s="136"/>
      <c r="CH7" s="136"/>
      <c r="CI7" s="18"/>
      <c r="CL7" s="18"/>
      <c r="CM7" s="18"/>
      <c r="CN7" s="19" t="s">
        <v>54</v>
      </c>
      <c r="CO7" s="19"/>
      <c r="CP7" s="41"/>
      <c r="CQ7" s="18"/>
      <c r="CR7" s="136"/>
      <c r="CS7" s="136"/>
      <c r="CT7" s="136"/>
      <c r="CU7" s="136"/>
      <c r="CV7" s="136"/>
      <c r="CW7" s="136"/>
      <c r="CX7" s="136"/>
      <c r="CY7" s="136"/>
      <c r="CZ7" s="136"/>
      <c r="DA7" s="18"/>
      <c r="DD7" s="4"/>
      <c r="DE7" s="4"/>
      <c r="DF7" s="15" t="s">
        <v>64</v>
      </c>
      <c r="DG7" s="15"/>
      <c r="DH7" s="41"/>
      <c r="DI7" s="4"/>
      <c r="DJ7" s="136"/>
      <c r="DK7" s="136"/>
      <c r="DL7" s="136"/>
      <c r="DM7" s="136"/>
      <c r="DN7" s="136"/>
      <c r="DO7" s="136"/>
      <c r="DP7" s="136"/>
      <c r="DQ7" s="136"/>
      <c r="DR7" s="136"/>
      <c r="DS7" s="4"/>
      <c r="DW7" s="27"/>
      <c r="DX7" s="56" t="s">
        <v>75</v>
      </c>
      <c r="DY7" s="56"/>
      <c r="DZ7" s="81">
        <f>V5</f>
        <v>0</v>
      </c>
      <c r="EA7" s="81">
        <f>V17</f>
        <v>0</v>
      </c>
      <c r="EB7" s="81">
        <f>V15</f>
        <v>0</v>
      </c>
      <c r="EC7" s="81">
        <f>V11</f>
        <v>0</v>
      </c>
      <c r="ED7" s="81">
        <f>V21</f>
        <v>0</v>
      </c>
      <c r="EE7" s="81">
        <f>V7</f>
        <v>0</v>
      </c>
      <c r="EF7" s="81">
        <f>V9</f>
        <v>0</v>
      </c>
      <c r="EG7" s="81">
        <f>V13</f>
        <v>0</v>
      </c>
      <c r="EH7" s="81">
        <f>V19</f>
        <v>0</v>
      </c>
      <c r="EI7" s="59"/>
      <c r="EJ7" s="61"/>
      <c r="EK7" s="74" t="s">
        <v>83</v>
      </c>
      <c r="EL7" s="75"/>
      <c r="EM7" s="64">
        <f>EA19</f>
        <v>0</v>
      </c>
      <c r="EN7" s="65"/>
      <c r="EO7" s="26"/>
      <c r="EU7" s="54" t="str">
        <f>EK9</f>
        <v>Shaper</v>
      </c>
      <c r="EV7" s="54">
        <f>EM9</f>
        <v>0</v>
      </c>
    </row>
    <row r="8" spans="1:194" ht="4.95" customHeight="1" thickTop="1" thickBot="1" x14ac:dyDescent="0.35">
      <c r="S8" s="4"/>
      <c r="T8" s="15"/>
      <c r="U8" s="15"/>
      <c r="V8" s="2"/>
      <c r="W8" s="4"/>
      <c r="X8" s="4"/>
      <c r="Y8" s="4"/>
      <c r="Z8" s="4"/>
      <c r="AA8" s="4"/>
      <c r="AB8" s="4"/>
      <c r="AC8" s="4"/>
      <c r="AD8" s="4"/>
      <c r="AE8" s="4"/>
      <c r="AF8" s="4"/>
      <c r="AG8" s="4"/>
      <c r="AJ8" s="4"/>
      <c r="AK8" s="4"/>
      <c r="AL8" s="15"/>
      <c r="AM8" s="15"/>
      <c r="AN8" s="2"/>
      <c r="AO8" s="4"/>
      <c r="AP8" s="4"/>
      <c r="AQ8" s="4"/>
      <c r="AR8" s="4"/>
      <c r="AS8" s="4"/>
      <c r="AT8" s="4"/>
      <c r="AU8" s="4"/>
      <c r="AV8" s="4"/>
      <c r="AW8" s="4"/>
      <c r="AX8" s="4"/>
      <c r="AY8" s="4"/>
      <c r="BB8" s="4"/>
      <c r="BC8" s="4"/>
      <c r="BD8" s="15"/>
      <c r="BE8" s="15"/>
      <c r="BF8" s="2"/>
      <c r="BG8" s="4"/>
      <c r="BH8" s="4"/>
      <c r="BI8" s="4"/>
      <c r="BJ8" s="4"/>
      <c r="BK8" s="4"/>
      <c r="BL8" s="4"/>
      <c r="BM8" s="4"/>
      <c r="BN8" s="4"/>
      <c r="BO8" s="4"/>
      <c r="BP8" s="4"/>
      <c r="BQ8" s="4"/>
      <c r="BT8" s="4"/>
      <c r="BU8" s="4"/>
      <c r="BV8" s="15"/>
      <c r="BW8" s="15"/>
      <c r="BX8" s="2"/>
      <c r="BY8" s="4"/>
      <c r="BZ8" s="4"/>
      <c r="CA8" s="4"/>
      <c r="CB8" s="4"/>
      <c r="CC8" s="4"/>
      <c r="CD8" s="4"/>
      <c r="CE8" s="4"/>
      <c r="CF8" s="4"/>
      <c r="CG8" s="4"/>
      <c r="CH8" s="4"/>
      <c r="CI8" s="4"/>
      <c r="CL8" s="4"/>
      <c r="CM8" s="4"/>
      <c r="CN8" s="15"/>
      <c r="CO8" s="15"/>
      <c r="CP8" s="2"/>
      <c r="CQ8" s="4"/>
      <c r="CR8" s="4"/>
      <c r="CS8" s="4"/>
      <c r="CT8" s="4"/>
      <c r="CU8" s="4"/>
      <c r="CV8" s="4"/>
      <c r="CW8" s="4"/>
      <c r="CX8" s="4"/>
      <c r="CY8" s="4"/>
      <c r="CZ8" s="4"/>
      <c r="DA8" s="4"/>
      <c r="DD8" s="4"/>
      <c r="DE8" s="4"/>
      <c r="DF8" s="15"/>
      <c r="DG8" s="15"/>
      <c r="DH8" s="2"/>
      <c r="DI8" s="4"/>
      <c r="DJ8" s="4"/>
      <c r="DK8" s="4"/>
      <c r="DL8" s="4"/>
      <c r="DM8" s="4"/>
      <c r="DN8" s="4"/>
      <c r="DO8" s="4"/>
      <c r="DP8" s="4"/>
      <c r="DQ8" s="4"/>
      <c r="DR8" s="4"/>
      <c r="DS8" s="4"/>
      <c r="DW8" s="27"/>
      <c r="DX8" s="66"/>
      <c r="DY8" s="66"/>
      <c r="DZ8" s="66"/>
      <c r="EA8" s="66"/>
      <c r="EB8" s="66"/>
      <c r="EC8" s="66"/>
      <c r="ED8" s="66"/>
      <c r="EE8" s="66"/>
      <c r="EF8" s="66"/>
      <c r="EG8" s="66"/>
      <c r="EH8" s="66"/>
      <c r="EI8" s="59"/>
      <c r="EJ8" s="58"/>
      <c r="EK8" s="67"/>
      <c r="EL8" s="58"/>
      <c r="EM8" s="64"/>
      <c r="EN8" s="68"/>
      <c r="EO8" s="25"/>
      <c r="EU8" s="54" t="str">
        <f>EK11</f>
        <v>Plant</v>
      </c>
      <c r="EV8" s="54">
        <f>EM11</f>
        <v>0</v>
      </c>
    </row>
    <row r="9" spans="1:194" s="17" customFormat="1" ht="31.95" customHeight="1" thickTop="1" thickBot="1" x14ac:dyDescent="0.35">
      <c r="B9" s="16" t="s">
        <v>4</v>
      </c>
      <c r="C9" s="16"/>
      <c r="D9" s="41"/>
      <c r="S9" s="18"/>
      <c r="T9" s="19" t="s">
        <v>15</v>
      </c>
      <c r="U9" s="19"/>
      <c r="V9" s="41"/>
      <c r="W9" s="18"/>
      <c r="X9" s="18"/>
      <c r="Y9" s="18"/>
      <c r="Z9" s="18"/>
      <c r="AA9" s="18"/>
      <c r="AB9" s="18"/>
      <c r="AC9" s="18"/>
      <c r="AD9" s="18"/>
      <c r="AE9" s="18"/>
      <c r="AF9" s="18"/>
      <c r="AG9" s="18"/>
      <c r="AJ9" s="18"/>
      <c r="AK9" s="18"/>
      <c r="AL9" s="19" t="s">
        <v>25</v>
      </c>
      <c r="AM9" s="19"/>
      <c r="AN9" s="41"/>
      <c r="AO9" s="18"/>
      <c r="AP9" s="18"/>
      <c r="AQ9" s="18"/>
      <c r="AR9" s="18"/>
      <c r="AS9" s="18"/>
      <c r="AT9" s="128" t="str">
        <f>IF(AS11&gt;0,"YOU HAVE NOT USED ALL OF YOUR POINTS YET","")</f>
        <v>YOU HAVE NOT USED ALL OF YOUR POINTS YET</v>
      </c>
      <c r="AU9" s="128"/>
      <c r="AV9" s="128"/>
      <c r="AW9" s="128"/>
      <c r="AX9" s="18"/>
      <c r="AY9" s="18"/>
      <c r="BB9" s="18"/>
      <c r="BC9" s="18"/>
      <c r="BD9" s="19" t="s">
        <v>35</v>
      </c>
      <c r="BE9" s="19"/>
      <c r="BF9" s="41"/>
      <c r="BG9" s="18"/>
      <c r="BH9" s="18"/>
      <c r="BI9" s="18"/>
      <c r="BJ9" s="18"/>
      <c r="BK9" s="18"/>
      <c r="BL9" s="18"/>
      <c r="BM9" s="18"/>
      <c r="BN9" s="18"/>
      <c r="BO9" s="18"/>
      <c r="BP9" s="18"/>
      <c r="BQ9" s="18"/>
      <c r="BT9" s="18"/>
      <c r="BU9" s="18"/>
      <c r="BV9" s="19" t="s">
        <v>45</v>
      </c>
      <c r="BW9" s="19"/>
      <c r="BX9" s="41"/>
      <c r="BY9" s="18"/>
      <c r="BZ9" s="18"/>
      <c r="CA9" s="18"/>
      <c r="CB9" s="18"/>
      <c r="CC9" s="18"/>
      <c r="CD9" s="18"/>
      <c r="CE9" s="18"/>
      <c r="CF9" s="18"/>
      <c r="CG9" s="18"/>
      <c r="CH9" s="18"/>
      <c r="CI9" s="18"/>
      <c r="CL9" s="18"/>
      <c r="CM9" s="18"/>
      <c r="CN9" s="19" t="s">
        <v>55</v>
      </c>
      <c r="CO9" s="19"/>
      <c r="CP9" s="41"/>
      <c r="CQ9" s="18"/>
      <c r="CR9" s="18"/>
      <c r="CS9" s="18"/>
      <c r="CT9" s="18"/>
      <c r="CU9" s="18"/>
      <c r="CV9" s="18"/>
      <c r="CW9" s="18"/>
      <c r="CX9" s="18"/>
      <c r="CY9" s="18"/>
      <c r="CZ9" s="18"/>
      <c r="DA9" s="18"/>
      <c r="DD9" s="4"/>
      <c r="DE9" s="4"/>
      <c r="DF9" s="15" t="s">
        <v>65</v>
      </c>
      <c r="DG9" s="15"/>
      <c r="DH9" s="41"/>
      <c r="DI9" s="4"/>
      <c r="DJ9" s="4"/>
      <c r="DK9" s="4"/>
      <c r="DL9" s="4"/>
      <c r="DM9" s="4"/>
      <c r="DN9" s="4"/>
      <c r="DO9" s="4"/>
      <c r="DP9" s="4"/>
      <c r="DQ9" s="4"/>
      <c r="DR9" s="4"/>
      <c r="DS9" s="4"/>
      <c r="DW9" s="27"/>
      <c r="DX9" s="56" t="s">
        <v>76</v>
      </c>
      <c r="DY9" s="56"/>
      <c r="DZ9" s="81">
        <f>AN21</f>
        <v>0</v>
      </c>
      <c r="EA9" s="81">
        <f>AN9</f>
        <v>0</v>
      </c>
      <c r="EB9" s="81">
        <f>AN19</f>
        <v>0</v>
      </c>
      <c r="EC9" s="81">
        <f>AN5</f>
        <v>0</v>
      </c>
      <c r="ED9" s="81">
        <f>AN11</f>
        <v>0</v>
      </c>
      <c r="EE9" s="81">
        <f>AN15</f>
        <v>0</v>
      </c>
      <c r="EF9" s="81">
        <f>AN17</f>
        <v>0</v>
      </c>
      <c r="EG9" s="81">
        <f>AN7</f>
        <v>0</v>
      </c>
      <c r="EH9" s="81">
        <f>AN13</f>
        <v>0</v>
      </c>
      <c r="EI9" s="59"/>
      <c r="EJ9" s="61"/>
      <c r="EK9" s="62" t="s">
        <v>84</v>
      </c>
      <c r="EL9" s="63"/>
      <c r="EM9" s="64">
        <f>EB19</f>
        <v>0</v>
      </c>
      <c r="EN9" s="65"/>
      <c r="EO9" s="26"/>
      <c r="EU9" s="54" t="str">
        <f>EK13</f>
        <v>Resource Investigator</v>
      </c>
      <c r="EV9" s="54">
        <f>EM13</f>
        <v>0</v>
      </c>
    </row>
    <row r="10" spans="1:194" ht="4.95" customHeight="1" thickTop="1" thickBot="1" x14ac:dyDescent="0.35">
      <c r="S10" s="4"/>
      <c r="T10" s="15"/>
      <c r="U10" s="15"/>
      <c r="V10" s="2"/>
      <c r="W10" s="4"/>
      <c r="X10" s="4"/>
      <c r="Y10" s="4"/>
      <c r="Z10" s="4"/>
      <c r="AA10" s="4"/>
      <c r="AB10" s="4"/>
      <c r="AC10" s="4"/>
      <c r="AD10" s="4"/>
      <c r="AE10" s="4"/>
      <c r="AF10" s="4"/>
      <c r="AG10" s="4"/>
      <c r="AJ10" s="4"/>
      <c r="AK10" s="4"/>
      <c r="AL10" s="15"/>
      <c r="AM10" s="15"/>
      <c r="AN10" s="2"/>
      <c r="AO10" s="4"/>
      <c r="AP10" s="4"/>
      <c r="AQ10" s="4"/>
      <c r="AR10" s="4"/>
      <c r="AS10" s="4"/>
      <c r="AT10" s="4"/>
      <c r="AU10" s="4"/>
      <c r="AV10" s="4"/>
      <c r="AW10" s="4"/>
      <c r="AX10" s="4"/>
      <c r="AY10" s="4"/>
      <c r="BB10" s="4"/>
      <c r="BC10" s="4"/>
      <c r="BD10" s="15"/>
      <c r="BE10" s="15"/>
      <c r="BF10" s="2"/>
      <c r="BG10" s="4"/>
      <c r="BH10" s="4"/>
      <c r="BI10" s="4"/>
      <c r="BJ10" s="4"/>
      <c r="BK10" s="4"/>
      <c r="BL10" s="4"/>
      <c r="BM10" s="4"/>
      <c r="BN10" s="4"/>
      <c r="BO10" s="4"/>
      <c r="BP10" s="4"/>
      <c r="BQ10" s="4"/>
      <c r="BT10" s="4"/>
      <c r="BU10" s="4"/>
      <c r="BV10" s="15"/>
      <c r="BW10" s="15"/>
      <c r="BX10" s="2"/>
      <c r="BY10" s="4"/>
      <c r="BZ10" s="4"/>
      <c r="CA10" s="4"/>
      <c r="CB10" s="4"/>
      <c r="CC10" s="4"/>
      <c r="CD10" s="4"/>
      <c r="CE10" s="4"/>
      <c r="CF10" s="4"/>
      <c r="CG10" s="4"/>
      <c r="CH10" s="4"/>
      <c r="CI10" s="4"/>
      <c r="CL10" s="4"/>
      <c r="CM10" s="4"/>
      <c r="CN10" s="15"/>
      <c r="CO10" s="15"/>
      <c r="CP10" s="2"/>
      <c r="CQ10" s="4"/>
      <c r="CR10" s="4"/>
      <c r="CS10" s="4"/>
      <c r="CT10" s="4"/>
      <c r="CU10" s="4"/>
      <c r="CV10" s="4"/>
      <c r="CW10" s="4"/>
      <c r="CX10" s="4"/>
      <c r="CY10" s="4"/>
      <c r="CZ10" s="4"/>
      <c r="DA10" s="4"/>
      <c r="DD10" s="4"/>
      <c r="DE10" s="4"/>
      <c r="DF10" s="15"/>
      <c r="DG10" s="15"/>
      <c r="DH10" s="2"/>
      <c r="DI10" s="4"/>
      <c r="DJ10" s="4"/>
      <c r="DK10" s="4"/>
      <c r="DL10" s="4"/>
      <c r="DM10" s="4"/>
      <c r="DN10" s="4"/>
      <c r="DO10" s="4"/>
      <c r="DP10" s="4"/>
      <c r="DQ10" s="4"/>
      <c r="DR10" s="4"/>
      <c r="DS10" s="4"/>
      <c r="DW10" s="27"/>
      <c r="DX10" s="66"/>
      <c r="DY10" s="66"/>
      <c r="DZ10" s="66"/>
      <c r="EA10" s="66"/>
      <c r="EB10" s="66"/>
      <c r="EC10" s="66"/>
      <c r="ED10" s="66"/>
      <c r="EE10" s="66"/>
      <c r="EF10" s="66"/>
      <c r="EG10" s="66"/>
      <c r="EH10" s="66"/>
      <c r="EI10" s="59"/>
      <c r="EJ10" s="58"/>
      <c r="EK10" s="67"/>
      <c r="EL10" s="58"/>
      <c r="EM10" s="64"/>
      <c r="EN10" s="68"/>
      <c r="EO10" s="25"/>
      <c r="EU10" s="54" t="str">
        <f>EK15</f>
        <v>Monitor Evaluator</v>
      </c>
      <c r="EV10" s="54">
        <f>EM15</f>
        <v>0</v>
      </c>
    </row>
    <row r="11" spans="1:194" s="17" customFormat="1" ht="31.95" customHeight="1" thickTop="1" thickBot="1" x14ac:dyDescent="0.35">
      <c r="B11" s="16" t="s">
        <v>5</v>
      </c>
      <c r="C11" s="16"/>
      <c r="D11" s="41"/>
      <c r="F11" s="129" t="s">
        <v>6</v>
      </c>
      <c r="G11" s="129"/>
      <c r="I11" s="22">
        <f>10-SUM(D5,D7,D9,D11,D13,D15,D17,D19,D21)</f>
        <v>10</v>
      </c>
      <c r="J11" s="126" t="str">
        <f>IF(I11&lt;0,"TOO MANY POINTS!","")</f>
        <v/>
      </c>
      <c r="K11" s="126"/>
      <c r="L11" s="126"/>
      <c r="M11" s="126"/>
      <c r="S11" s="18"/>
      <c r="T11" s="19" t="s">
        <v>16</v>
      </c>
      <c r="U11" s="19"/>
      <c r="V11" s="41"/>
      <c r="W11" s="18"/>
      <c r="X11" s="125" t="s">
        <v>6</v>
      </c>
      <c r="Y11" s="125"/>
      <c r="Z11" s="18"/>
      <c r="AA11" s="23">
        <f>10-SUM(V5,V7,V9,V11,V13,V15,V17,V19,V21)</f>
        <v>10</v>
      </c>
      <c r="AB11" s="126" t="str">
        <f>IF(AA11&lt;0,"TOO MANY POINTS!","")</f>
        <v/>
      </c>
      <c r="AC11" s="126"/>
      <c r="AD11" s="126"/>
      <c r="AE11" s="126"/>
      <c r="AF11" s="20"/>
      <c r="AG11" s="18"/>
      <c r="AJ11" s="18"/>
      <c r="AK11" s="18"/>
      <c r="AL11" s="19" t="s">
        <v>26</v>
      </c>
      <c r="AM11" s="19"/>
      <c r="AN11" s="41"/>
      <c r="AO11" s="18"/>
      <c r="AP11" s="125" t="s">
        <v>6</v>
      </c>
      <c r="AQ11" s="125"/>
      <c r="AR11" s="18"/>
      <c r="AS11" s="23">
        <f>10-SUM(AN5,AN7,AN9,AN11,AN13,AN15,AN17,AN19,AN21)</f>
        <v>10</v>
      </c>
      <c r="AT11" s="126" t="str">
        <f>IF(AS11&lt;0,"TOO MANY POINTS!","")</f>
        <v/>
      </c>
      <c r="AU11" s="126"/>
      <c r="AV11" s="126"/>
      <c r="AW11" s="126"/>
      <c r="AX11" s="20"/>
      <c r="AY11" s="18"/>
      <c r="BB11" s="18"/>
      <c r="BC11" s="18"/>
      <c r="BD11" s="19" t="s">
        <v>36</v>
      </c>
      <c r="BE11" s="19"/>
      <c r="BF11" s="41"/>
      <c r="BG11" s="18"/>
      <c r="BH11" s="125" t="s">
        <v>6</v>
      </c>
      <c r="BI11" s="125"/>
      <c r="BJ11" s="18"/>
      <c r="BK11" s="23">
        <f>10-SUM(BF5,BF7,BF9,BF11,BF13,BF15,BF17,BF19,BF21)</f>
        <v>10</v>
      </c>
      <c r="BL11" s="126" t="str">
        <f>IF(BK11&lt;0,"TOO MANY POINTS!","")</f>
        <v/>
      </c>
      <c r="BM11" s="126"/>
      <c r="BN11" s="126"/>
      <c r="BO11" s="126"/>
      <c r="BP11" s="20"/>
      <c r="BQ11" s="18"/>
      <c r="BT11" s="18"/>
      <c r="BU11" s="18"/>
      <c r="BV11" s="19" t="s">
        <v>46</v>
      </c>
      <c r="BW11" s="19"/>
      <c r="BX11" s="41"/>
      <c r="BY11" s="18"/>
      <c r="BZ11" s="125" t="s">
        <v>6</v>
      </c>
      <c r="CA11" s="125"/>
      <c r="CB11" s="18"/>
      <c r="CC11" s="23">
        <f>10-SUM(BX5,BX7,BX9,BX11,BX13,BX15,BX17,BX19,BX21)</f>
        <v>10</v>
      </c>
      <c r="CD11" s="126" t="str">
        <f>IF(CC11&lt;0,"TOO MANY POINTS!","")</f>
        <v/>
      </c>
      <c r="CE11" s="126"/>
      <c r="CF11" s="126"/>
      <c r="CG11" s="126"/>
      <c r="CH11" s="20"/>
      <c r="CI11" s="18"/>
      <c r="CL11" s="18"/>
      <c r="CM11" s="18"/>
      <c r="CN11" s="19" t="s">
        <v>56</v>
      </c>
      <c r="CO11" s="19"/>
      <c r="CP11" s="41"/>
      <c r="CQ11" s="18"/>
      <c r="CR11" s="125" t="s">
        <v>6</v>
      </c>
      <c r="CS11" s="125"/>
      <c r="CT11" s="18"/>
      <c r="CU11" s="23">
        <f>10-SUM(CP5,CP7,CP9,CP11,CP13,CP15,CP17,CP19,CP21)</f>
        <v>10</v>
      </c>
      <c r="CV11" s="126" t="str">
        <f>IF(CU11&lt;0,"TOO MANY POINTS!","")</f>
        <v/>
      </c>
      <c r="CW11" s="126"/>
      <c r="CX11" s="126"/>
      <c r="CY11" s="126"/>
      <c r="CZ11" s="20"/>
      <c r="DA11" s="18"/>
      <c r="DD11" s="4"/>
      <c r="DE11" s="4"/>
      <c r="DF11" s="15" t="s">
        <v>66</v>
      </c>
      <c r="DG11" s="15"/>
      <c r="DH11" s="41"/>
      <c r="DI11" s="4"/>
      <c r="DJ11" s="125" t="s">
        <v>6</v>
      </c>
      <c r="DK11" s="125"/>
      <c r="DL11" s="4"/>
      <c r="DM11" s="23">
        <f>10-SUM(DH5,DH7,DH9,DH11,DH13,DH15,DH17,DH19,DH21)</f>
        <v>10</v>
      </c>
      <c r="DN11" s="126" t="str">
        <f>IF(DM11&lt;0,"TOO MANY POINTS!","")</f>
        <v/>
      </c>
      <c r="DO11" s="126"/>
      <c r="DP11" s="126"/>
      <c r="DQ11" s="126"/>
      <c r="DR11" s="21"/>
      <c r="DS11" s="4"/>
      <c r="DW11" s="27"/>
      <c r="DX11" s="56" t="s">
        <v>77</v>
      </c>
      <c r="DY11" s="56"/>
      <c r="DZ11" s="81">
        <f>BF11</f>
        <v>0</v>
      </c>
      <c r="EA11" s="81">
        <f>BF7</f>
        <v>0</v>
      </c>
      <c r="EB11" s="81">
        <f>BF9</f>
        <v>0</v>
      </c>
      <c r="EC11" s="81">
        <f>BF13</f>
        <v>0</v>
      </c>
      <c r="ED11" s="81">
        <f>BF15</f>
        <v>0</v>
      </c>
      <c r="EE11" s="81">
        <f>BF19</f>
        <v>0</v>
      </c>
      <c r="EF11" s="81">
        <f>BF5</f>
        <v>0</v>
      </c>
      <c r="EG11" s="81">
        <f>BF17</f>
        <v>0</v>
      </c>
      <c r="EH11" s="81">
        <f>BF21</f>
        <v>0</v>
      </c>
      <c r="EI11" s="59"/>
      <c r="EJ11" s="61"/>
      <c r="EK11" s="74" t="s">
        <v>85</v>
      </c>
      <c r="EL11" s="75"/>
      <c r="EM11" s="64">
        <f>EC19</f>
        <v>0</v>
      </c>
      <c r="EN11" s="65"/>
      <c r="EO11" s="26"/>
      <c r="EU11" s="54" t="str">
        <f>EK17</f>
        <v>Team Worker</v>
      </c>
      <c r="EV11" s="54">
        <f>EM17</f>
        <v>0</v>
      </c>
    </row>
    <row r="12" spans="1:194" ht="4.95" customHeight="1" thickTop="1" thickBot="1" x14ac:dyDescent="0.35">
      <c r="J12" s="4"/>
      <c r="K12" s="4"/>
      <c r="L12" s="4"/>
      <c r="M12" s="4"/>
      <c r="S12" s="4"/>
      <c r="T12" s="15"/>
      <c r="U12" s="15"/>
      <c r="V12" s="2"/>
      <c r="W12" s="4"/>
      <c r="X12" s="4"/>
      <c r="Y12" s="4"/>
      <c r="Z12" s="4"/>
      <c r="AA12" s="4"/>
      <c r="AB12" s="4"/>
      <c r="AC12" s="4"/>
      <c r="AD12" s="4"/>
      <c r="AE12" s="4"/>
      <c r="AF12" s="21"/>
      <c r="AG12" s="4"/>
      <c r="AJ12" s="4"/>
      <c r="AK12" s="4"/>
      <c r="AL12" s="15"/>
      <c r="AM12" s="15"/>
      <c r="AN12" s="2"/>
      <c r="AO12" s="4"/>
      <c r="AP12" s="4"/>
      <c r="AQ12" s="4"/>
      <c r="AR12" s="4"/>
      <c r="AS12" s="4"/>
      <c r="AT12" s="4"/>
      <c r="AU12" s="4"/>
      <c r="AV12" s="4"/>
      <c r="AW12" s="4"/>
      <c r="AX12" s="21"/>
      <c r="AY12" s="4"/>
      <c r="BB12" s="4"/>
      <c r="BC12" s="4"/>
      <c r="BD12" s="15"/>
      <c r="BE12" s="15"/>
      <c r="BF12" s="2"/>
      <c r="BG12" s="4"/>
      <c r="BH12" s="4"/>
      <c r="BI12" s="4"/>
      <c r="BJ12" s="4"/>
      <c r="BK12" s="4"/>
      <c r="BL12" s="4"/>
      <c r="BM12" s="4"/>
      <c r="BN12" s="4"/>
      <c r="BO12" s="4"/>
      <c r="BP12" s="21"/>
      <c r="BQ12" s="4"/>
      <c r="BT12" s="4"/>
      <c r="BU12" s="4"/>
      <c r="BV12" s="15"/>
      <c r="BW12" s="15"/>
      <c r="BX12" s="2"/>
      <c r="BY12" s="4"/>
      <c r="BZ12" s="4"/>
      <c r="CA12" s="4"/>
      <c r="CB12" s="4"/>
      <c r="CC12" s="4"/>
      <c r="CD12" s="4"/>
      <c r="CE12" s="4"/>
      <c r="CF12" s="4"/>
      <c r="CG12" s="4"/>
      <c r="CH12" s="21"/>
      <c r="CI12" s="4"/>
      <c r="CL12" s="4"/>
      <c r="CM12" s="4"/>
      <c r="CN12" s="15"/>
      <c r="CO12" s="15"/>
      <c r="CP12" s="2"/>
      <c r="CQ12" s="4"/>
      <c r="CR12" s="4"/>
      <c r="CS12" s="4"/>
      <c r="CT12" s="4"/>
      <c r="CU12" s="4"/>
      <c r="CV12" s="4"/>
      <c r="CW12" s="4"/>
      <c r="CX12" s="4"/>
      <c r="CY12" s="4"/>
      <c r="CZ12" s="21"/>
      <c r="DA12" s="4"/>
      <c r="DD12" s="4"/>
      <c r="DE12" s="4"/>
      <c r="DF12" s="15"/>
      <c r="DG12" s="15"/>
      <c r="DH12" s="2"/>
      <c r="DI12" s="4"/>
      <c r="DJ12" s="4"/>
      <c r="DK12" s="4"/>
      <c r="DL12" s="4"/>
      <c r="DM12" s="4"/>
      <c r="DN12" s="4"/>
      <c r="DO12" s="4"/>
      <c r="DP12" s="4"/>
      <c r="DQ12" s="4"/>
      <c r="DR12" s="21"/>
      <c r="DS12" s="4"/>
      <c r="DW12" s="27"/>
      <c r="DX12" s="66"/>
      <c r="DY12" s="66"/>
      <c r="DZ12" s="66"/>
      <c r="EA12" s="66"/>
      <c r="EB12" s="66"/>
      <c r="EC12" s="66"/>
      <c r="ED12" s="66"/>
      <c r="EE12" s="66"/>
      <c r="EF12" s="66"/>
      <c r="EG12" s="66"/>
      <c r="EH12" s="66"/>
      <c r="EI12" s="59"/>
      <c r="EJ12" s="58"/>
      <c r="EK12" s="67"/>
      <c r="EL12" s="58"/>
      <c r="EM12" s="64"/>
      <c r="EN12" s="68"/>
      <c r="EO12" s="25"/>
      <c r="EU12" s="54" t="str">
        <f>EK19</f>
        <v>Complete Finisher</v>
      </c>
      <c r="EV12" s="54">
        <f>EM19</f>
        <v>0</v>
      </c>
    </row>
    <row r="13" spans="1:194" s="17" customFormat="1" ht="31.95" customHeight="1" thickTop="1" thickBot="1" x14ac:dyDescent="0.35">
      <c r="B13" s="16" t="s">
        <v>7</v>
      </c>
      <c r="C13" s="16"/>
      <c r="D13" s="41"/>
      <c r="J13" s="127" t="str">
        <f>IF(I11&gt;0,"YOU HAVE NOT USED ALL OF YOUR POINTS YET","")</f>
        <v>YOU HAVE NOT USED ALL OF YOUR POINTS YET</v>
      </c>
      <c r="K13" s="127"/>
      <c r="L13" s="127"/>
      <c r="M13" s="127"/>
      <c r="S13" s="18"/>
      <c r="T13" s="19" t="s">
        <v>17</v>
      </c>
      <c r="U13" s="19"/>
      <c r="V13" s="41"/>
      <c r="W13" s="18"/>
      <c r="X13" s="18"/>
      <c r="Y13" s="18"/>
      <c r="Z13" s="18"/>
      <c r="AA13" s="18"/>
      <c r="AB13" s="127" t="str">
        <f>IF(AA11&gt;0,"YOU HAVE NOT USED ALL OF YOUR POINTS YET","")</f>
        <v>YOU HAVE NOT USED ALL OF YOUR POINTS YET</v>
      </c>
      <c r="AC13" s="127"/>
      <c r="AD13" s="127"/>
      <c r="AE13" s="127"/>
      <c r="AF13" s="20"/>
      <c r="AG13" s="18"/>
      <c r="AJ13" s="18"/>
      <c r="AK13" s="18"/>
      <c r="AL13" s="19" t="s">
        <v>27</v>
      </c>
      <c r="AM13" s="19"/>
      <c r="AN13" s="41"/>
      <c r="AO13" s="18"/>
      <c r="AP13" s="18"/>
      <c r="AQ13" s="18"/>
      <c r="AR13" s="18"/>
      <c r="AS13" s="18"/>
      <c r="AT13" s="127" t="str">
        <f>IF(AS11&gt;0,"YOU HAVE NOT USED ALL OF YOUR POINTS YET","")</f>
        <v>YOU HAVE NOT USED ALL OF YOUR POINTS YET</v>
      </c>
      <c r="AU13" s="127"/>
      <c r="AV13" s="127"/>
      <c r="AW13" s="127"/>
      <c r="AX13" s="20"/>
      <c r="AY13" s="18"/>
      <c r="BB13" s="18"/>
      <c r="BC13" s="18"/>
      <c r="BD13" s="19" t="s">
        <v>37</v>
      </c>
      <c r="BE13" s="19"/>
      <c r="BF13" s="41"/>
      <c r="BG13" s="18"/>
      <c r="BH13" s="18"/>
      <c r="BI13" s="18"/>
      <c r="BJ13" s="18"/>
      <c r="BK13" s="18"/>
      <c r="BL13" s="127" t="str">
        <f>IF(BK11&gt;0,"YOU HAVE NOT USED ALL OF YOUR POINTS YET","")</f>
        <v>YOU HAVE NOT USED ALL OF YOUR POINTS YET</v>
      </c>
      <c r="BM13" s="127"/>
      <c r="BN13" s="127"/>
      <c r="BO13" s="127"/>
      <c r="BP13" s="20"/>
      <c r="BQ13" s="18"/>
      <c r="BT13" s="18"/>
      <c r="BU13" s="18"/>
      <c r="BV13" s="19" t="s">
        <v>47</v>
      </c>
      <c r="BW13" s="19"/>
      <c r="BX13" s="41"/>
      <c r="BY13" s="18"/>
      <c r="BZ13" s="18"/>
      <c r="CA13" s="18"/>
      <c r="CB13" s="18"/>
      <c r="CC13" s="18"/>
      <c r="CD13" s="127" t="str">
        <f>IF(CC11&gt;0,"YOU HAVE NOT USED ALL OF YOUR POINTS YET","")</f>
        <v>YOU HAVE NOT USED ALL OF YOUR POINTS YET</v>
      </c>
      <c r="CE13" s="127"/>
      <c r="CF13" s="127"/>
      <c r="CG13" s="127"/>
      <c r="CH13" s="20"/>
      <c r="CI13" s="18"/>
      <c r="CL13" s="18"/>
      <c r="CM13" s="18"/>
      <c r="CN13" s="19" t="s">
        <v>57</v>
      </c>
      <c r="CO13" s="19"/>
      <c r="CP13" s="41"/>
      <c r="CQ13" s="18"/>
      <c r="CR13" s="18"/>
      <c r="CS13" s="18"/>
      <c r="CT13" s="18"/>
      <c r="CU13" s="18"/>
      <c r="CV13" s="127" t="str">
        <f>IF(CU11&gt;0,"YOU HAVE NOT USED ALL OF YOUR POINTS YET","")</f>
        <v>YOU HAVE NOT USED ALL OF YOUR POINTS YET</v>
      </c>
      <c r="CW13" s="127"/>
      <c r="CX13" s="127"/>
      <c r="CY13" s="127"/>
      <c r="CZ13" s="20"/>
      <c r="DA13" s="18"/>
      <c r="DD13" s="4"/>
      <c r="DE13" s="4"/>
      <c r="DF13" s="15" t="s">
        <v>67</v>
      </c>
      <c r="DG13" s="15"/>
      <c r="DH13" s="41"/>
      <c r="DI13" s="4"/>
      <c r="DJ13" s="4"/>
      <c r="DK13" s="4"/>
      <c r="DL13" s="4"/>
      <c r="DM13" s="4"/>
      <c r="DN13" s="127" t="str">
        <f>IF(DM11&gt;0,"YOU HAVE NOT USED ALL OF YOUR POINTS YET","")</f>
        <v>YOU HAVE NOT USED ALL OF YOUR POINTS YET</v>
      </c>
      <c r="DO13" s="127"/>
      <c r="DP13" s="127"/>
      <c r="DQ13" s="127"/>
      <c r="DR13" s="21"/>
      <c r="DS13" s="4"/>
      <c r="DW13" s="27"/>
      <c r="DX13" s="56" t="s">
        <v>78</v>
      </c>
      <c r="DY13" s="56"/>
      <c r="DZ13" s="81">
        <f>BX13</f>
        <v>0</v>
      </c>
      <c r="EA13" s="81">
        <f>BX19</f>
        <v>0</v>
      </c>
      <c r="EB13" s="81">
        <f>BX21</f>
        <v>0</v>
      </c>
      <c r="EC13" s="81">
        <f>BX9</f>
        <v>0</v>
      </c>
      <c r="ED13" s="81">
        <f>BX17</f>
        <v>0</v>
      </c>
      <c r="EE13" s="81">
        <f>BX5</f>
        <v>0</v>
      </c>
      <c r="EF13" s="81">
        <f>BX15</f>
        <v>0</v>
      </c>
      <c r="EG13" s="81">
        <f>BX11</f>
        <v>0</v>
      </c>
      <c r="EH13" s="81">
        <f>BX7</f>
        <v>0</v>
      </c>
      <c r="EI13" s="59"/>
      <c r="EJ13" s="61"/>
      <c r="EK13" s="62" t="s">
        <v>86</v>
      </c>
      <c r="EL13" s="63"/>
      <c r="EM13" s="64">
        <f>ED19</f>
        <v>0</v>
      </c>
      <c r="EN13" s="65"/>
      <c r="EO13" s="26"/>
      <c r="EU13" s="54" t="str">
        <f>EK21</f>
        <v>Specialist</v>
      </c>
      <c r="EV13" s="54">
        <f>EM21</f>
        <v>0</v>
      </c>
    </row>
    <row r="14" spans="1:194" ht="4.95" customHeight="1" thickTop="1" thickBot="1" x14ac:dyDescent="0.35">
      <c r="J14" s="4"/>
      <c r="K14" s="4"/>
      <c r="L14" s="4"/>
      <c r="M14" s="4"/>
      <c r="S14" s="4"/>
      <c r="T14" s="15"/>
      <c r="U14" s="15"/>
      <c r="V14" s="2"/>
      <c r="W14" s="4"/>
      <c r="X14" s="4"/>
      <c r="Y14" s="4"/>
      <c r="Z14" s="4"/>
      <c r="AA14" s="4"/>
      <c r="AB14" s="4"/>
      <c r="AC14" s="4"/>
      <c r="AD14" s="4"/>
      <c r="AE14" s="4"/>
      <c r="AF14" s="21"/>
      <c r="AG14" s="4"/>
      <c r="AJ14" s="4"/>
      <c r="AK14" s="4"/>
      <c r="AL14" s="15"/>
      <c r="AM14" s="15"/>
      <c r="AN14" s="2"/>
      <c r="AO14" s="4"/>
      <c r="AP14" s="4"/>
      <c r="AQ14" s="4"/>
      <c r="AR14" s="4"/>
      <c r="AS14" s="4"/>
      <c r="AT14" s="4"/>
      <c r="AU14" s="4"/>
      <c r="AV14" s="4"/>
      <c r="AW14" s="4"/>
      <c r="AX14" s="21"/>
      <c r="AY14" s="4"/>
      <c r="BB14" s="4"/>
      <c r="BC14" s="4"/>
      <c r="BD14" s="15"/>
      <c r="BE14" s="15"/>
      <c r="BF14" s="2"/>
      <c r="BG14" s="4"/>
      <c r="BH14" s="4"/>
      <c r="BI14" s="4"/>
      <c r="BJ14" s="4"/>
      <c r="BK14" s="4"/>
      <c r="BL14" s="4"/>
      <c r="BM14" s="4"/>
      <c r="BN14" s="4"/>
      <c r="BO14" s="4"/>
      <c r="BP14" s="21"/>
      <c r="BQ14" s="4"/>
      <c r="BT14" s="4"/>
      <c r="BU14" s="4"/>
      <c r="BV14" s="15"/>
      <c r="BW14" s="15"/>
      <c r="BX14" s="2"/>
      <c r="BY14" s="4"/>
      <c r="BZ14" s="4"/>
      <c r="CA14" s="4"/>
      <c r="CB14" s="4"/>
      <c r="CC14" s="4"/>
      <c r="CD14" s="4"/>
      <c r="CE14" s="4"/>
      <c r="CF14" s="4"/>
      <c r="CG14" s="4"/>
      <c r="CH14" s="21"/>
      <c r="CI14" s="4"/>
      <c r="CL14" s="4"/>
      <c r="CM14" s="4"/>
      <c r="CN14" s="15"/>
      <c r="CO14" s="15"/>
      <c r="CP14" s="2"/>
      <c r="CQ14" s="4"/>
      <c r="CR14" s="4"/>
      <c r="CS14" s="4"/>
      <c r="CT14" s="4"/>
      <c r="CU14" s="4"/>
      <c r="CV14" s="4"/>
      <c r="CW14" s="4"/>
      <c r="CX14" s="4"/>
      <c r="CY14" s="4"/>
      <c r="CZ14" s="21"/>
      <c r="DA14" s="4"/>
      <c r="DD14" s="4"/>
      <c r="DE14" s="4"/>
      <c r="DF14" s="15"/>
      <c r="DG14" s="15"/>
      <c r="DH14" s="2"/>
      <c r="DI14" s="4"/>
      <c r="DJ14" s="4"/>
      <c r="DK14" s="4"/>
      <c r="DL14" s="4"/>
      <c r="DM14" s="4"/>
      <c r="DN14" s="4"/>
      <c r="DO14" s="4"/>
      <c r="DP14" s="4"/>
      <c r="DQ14" s="4"/>
      <c r="DR14" s="21"/>
      <c r="DS14" s="4"/>
      <c r="DW14" s="27"/>
      <c r="DX14" s="66"/>
      <c r="DY14" s="66"/>
      <c r="DZ14" s="66"/>
      <c r="EA14" s="66"/>
      <c r="EB14" s="66"/>
      <c r="EC14" s="66"/>
      <c r="ED14" s="66"/>
      <c r="EE14" s="66"/>
      <c r="EF14" s="66"/>
      <c r="EG14" s="66"/>
      <c r="EH14" s="66"/>
      <c r="EI14" s="59"/>
      <c r="EJ14" s="58"/>
      <c r="EK14" s="67"/>
      <c r="EL14" s="58"/>
      <c r="EM14" s="64"/>
      <c r="EN14" s="68"/>
      <c r="EO14" s="25"/>
      <c r="GL14" s="17"/>
    </row>
    <row r="15" spans="1:194" s="17" customFormat="1" ht="31.95" customHeight="1" thickTop="1" thickBot="1" x14ac:dyDescent="0.35">
      <c r="B15" s="16" t="s">
        <v>8</v>
      </c>
      <c r="C15" s="16"/>
      <c r="D15" s="41"/>
      <c r="J15" s="124" t="str">
        <f>IF(I11=0,"THANK YOU, YOU MAY CONTINUE","")</f>
        <v/>
      </c>
      <c r="K15" s="124"/>
      <c r="L15" s="124"/>
      <c r="M15" s="124"/>
      <c r="S15" s="18"/>
      <c r="T15" s="19" t="s">
        <v>18</v>
      </c>
      <c r="U15" s="19"/>
      <c r="V15" s="41"/>
      <c r="W15" s="18"/>
      <c r="X15" s="18"/>
      <c r="Y15" s="18"/>
      <c r="Z15" s="18"/>
      <c r="AA15" s="18"/>
      <c r="AB15" s="124" t="str">
        <f>IF(AA11=0,"THANK YOU, YOU MAY CONTINUE","")</f>
        <v/>
      </c>
      <c r="AC15" s="124"/>
      <c r="AD15" s="124"/>
      <c r="AE15" s="124"/>
      <c r="AF15" s="20"/>
      <c r="AG15" s="18"/>
      <c r="AJ15" s="18"/>
      <c r="AK15" s="18"/>
      <c r="AL15" s="19" t="s">
        <v>28</v>
      </c>
      <c r="AM15" s="19"/>
      <c r="AN15" s="41"/>
      <c r="AO15" s="18"/>
      <c r="AP15" s="18"/>
      <c r="AQ15" s="18"/>
      <c r="AR15" s="18"/>
      <c r="AS15" s="18"/>
      <c r="AT15" s="124" t="str">
        <f>IF(AS11=0,"THANK YOU, YOU MAY CONTINUE","")</f>
        <v/>
      </c>
      <c r="AU15" s="124"/>
      <c r="AV15" s="124"/>
      <c r="AW15" s="124"/>
      <c r="AX15" s="20"/>
      <c r="AY15" s="18"/>
      <c r="BB15" s="18"/>
      <c r="BC15" s="18"/>
      <c r="BD15" s="19" t="s">
        <v>38</v>
      </c>
      <c r="BE15" s="19"/>
      <c r="BF15" s="41"/>
      <c r="BG15" s="18"/>
      <c r="BH15" s="18"/>
      <c r="BI15" s="18"/>
      <c r="BJ15" s="18"/>
      <c r="BK15" s="18"/>
      <c r="BL15" s="124" t="str">
        <f>IF(BK11=0,"THANK YOU, YOU MAY CONTINUE","")</f>
        <v/>
      </c>
      <c r="BM15" s="124"/>
      <c r="BN15" s="124"/>
      <c r="BO15" s="124"/>
      <c r="BP15" s="20"/>
      <c r="BQ15" s="18"/>
      <c r="BT15" s="18"/>
      <c r="BU15" s="18"/>
      <c r="BV15" s="19" t="s">
        <v>48</v>
      </c>
      <c r="BW15" s="19"/>
      <c r="BX15" s="41"/>
      <c r="BY15" s="18"/>
      <c r="BZ15" s="18"/>
      <c r="CA15" s="18"/>
      <c r="CB15" s="18"/>
      <c r="CC15" s="18"/>
      <c r="CD15" s="124" t="str">
        <f>IF(CC11=0,"THANK YOU, YOU MAY CONTINUE","")</f>
        <v/>
      </c>
      <c r="CE15" s="124"/>
      <c r="CF15" s="124"/>
      <c r="CG15" s="124"/>
      <c r="CH15" s="20"/>
      <c r="CI15" s="18"/>
      <c r="CL15" s="18"/>
      <c r="CM15" s="18"/>
      <c r="CN15" s="19" t="s">
        <v>58</v>
      </c>
      <c r="CO15" s="19"/>
      <c r="CP15" s="41"/>
      <c r="CQ15" s="18"/>
      <c r="CR15" s="18"/>
      <c r="CS15" s="18"/>
      <c r="CT15" s="18"/>
      <c r="CU15" s="18"/>
      <c r="CV15" s="124" t="str">
        <f>IF(CU11=0,"THANK YOU, YOU MAY CONTINUE","")</f>
        <v/>
      </c>
      <c r="CW15" s="124"/>
      <c r="CX15" s="124"/>
      <c r="CY15" s="124"/>
      <c r="CZ15" s="20"/>
      <c r="DA15" s="18"/>
      <c r="DD15" s="4"/>
      <c r="DE15" s="4"/>
      <c r="DF15" s="15" t="s">
        <v>68</v>
      </c>
      <c r="DG15" s="15"/>
      <c r="DH15" s="41"/>
      <c r="DI15" s="4"/>
      <c r="DJ15" s="4"/>
      <c r="DK15" s="4"/>
      <c r="DL15" s="4"/>
      <c r="DM15" s="4"/>
      <c r="DN15" s="124" t="str">
        <f>IF(DM11=0,"THANK YOU, YOU MAY CONTINUE","")</f>
        <v/>
      </c>
      <c r="DO15" s="124"/>
      <c r="DP15" s="124"/>
      <c r="DQ15" s="124"/>
      <c r="DR15" s="21"/>
      <c r="DS15" s="4"/>
      <c r="DX15" s="56" t="s">
        <v>79</v>
      </c>
      <c r="DY15" s="56"/>
      <c r="DZ15" s="81">
        <f>CP7</f>
        <v>0</v>
      </c>
      <c r="EA15" s="81">
        <f>CP13</f>
        <v>0</v>
      </c>
      <c r="EB15" s="81">
        <f>CP17</f>
        <v>0</v>
      </c>
      <c r="EC15" s="81">
        <f>CP15</f>
        <v>0</v>
      </c>
      <c r="ED15" s="81">
        <f>CP9</f>
        <v>0</v>
      </c>
      <c r="EE15" s="81">
        <f>CP11</f>
        <v>0</v>
      </c>
      <c r="EF15" s="81">
        <f>CP21</f>
        <v>0</v>
      </c>
      <c r="EG15" s="81">
        <f>CP19</f>
        <v>0</v>
      </c>
      <c r="EH15" s="81">
        <f>CP5</f>
        <v>0</v>
      </c>
      <c r="EI15" s="59"/>
      <c r="EJ15" s="61"/>
      <c r="EK15" s="74" t="s">
        <v>87</v>
      </c>
      <c r="EL15" s="75"/>
      <c r="EM15" s="64">
        <f>EE19</f>
        <v>0</v>
      </c>
      <c r="EN15" s="65"/>
      <c r="EO15" s="26"/>
    </row>
    <row r="16" spans="1:194" ht="4.95" customHeight="1" thickTop="1" thickBot="1" x14ac:dyDescent="0.35">
      <c r="J16" s="4"/>
      <c r="K16" s="4"/>
      <c r="L16" s="4"/>
      <c r="M16" s="4"/>
      <c r="S16" s="4"/>
      <c r="T16" s="15"/>
      <c r="U16" s="15"/>
      <c r="V16" s="2"/>
      <c r="W16" s="4"/>
      <c r="X16" s="4"/>
      <c r="Y16" s="4"/>
      <c r="Z16" s="4"/>
      <c r="AA16" s="4"/>
      <c r="AB16" s="4"/>
      <c r="AC16" s="4"/>
      <c r="AD16" s="4"/>
      <c r="AE16" s="4"/>
      <c r="AF16" s="21"/>
      <c r="AG16" s="4"/>
      <c r="AJ16" s="4"/>
      <c r="AK16" s="4"/>
      <c r="AL16" s="15"/>
      <c r="AM16" s="15"/>
      <c r="AN16" s="2"/>
      <c r="AO16" s="4"/>
      <c r="AP16" s="4"/>
      <c r="AQ16" s="4"/>
      <c r="AR16" s="4"/>
      <c r="AS16" s="4"/>
      <c r="AT16" s="4"/>
      <c r="AU16" s="4"/>
      <c r="AV16" s="4"/>
      <c r="AW16" s="4"/>
      <c r="AX16" s="21"/>
      <c r="AY16" s="4"/>
      <c r="BB16" s="4"/>
      <c r="BC16" s="4"/>
      <c r="BD16" s="15"/>
      <c r="BE16" s="15"/>
      <c r="BF16" s="2"/>
      <c r="BG16" s="4"/>
      <c r="BH16" s="4"/>
      <c r="BI16" s="4"/>
      <c r="BJ16" s="4"/>
      <c r="BK16" s="4"/>
      <c r="BL16" s="4"/>
      <c r="BM16" s="4"/>
      <c r="BN16" s="4"/>
      <c r="BO16" s="4"/>
      <c r="BP16" s="21"/>
      <c r="BQ16" s="4"/>
      <c r="BT16" s="4"/>
      <c r="BU16" s="4"/>
      <c r="BV16" s="15"/>
      <c r="BW16" s="15"/>
      <c r="BX16" s="2"/>
      <c r="BY16" s="4"/>
      <c r="BZ16" s="4"/>
      <c r="CA16" s="4"/>
      <c r="CB16" s="4"/>
      <c r="CC16" s="4"/>
      <c r="CD16" s="4"/>
      <c r="CE16" s="4"/>
      <c r="CF16" s="4"/>
      <c r="CG16" s="4"/>
      <c r="CH16" s="21"/>
      <c r="CI16" s="4"/>
      <c r="CL16" s="4"/>
      <c r="CM16" s="4"/>
      <c r="CN16" s="15"/>
      <c r="CO16" s="15"/>
      <c r="CP16" s="2"/>
      <c r="CQ16" s="4"/>
      <c r="CR16" s="4"/>
      <c r="CS16" s="4"/>
      <c r="CT16" s="4"/>
      <c r="CU16" s="4"/>
      <c r="CV16" s="4"/>
      <c r="CW16" s="4"/>
      <c r="CX16" s="4"/>
      <c r="CY16" s="4"/>
      <c r="CZ16" s="21"/>
      <c r="DA16" s="4"/>
      <c r="DD16" s="4"/>
      <c r="DE16" s="4"/>
      <c r="DF16" s="15"/>
      <c r="DG16" s="15"/>
      <c r="DH16" s="2"/>
      <c r="DI16" s="4"/>
      <c r="DJ16" s="4"/>
      <c r="DK16" s="4"/>
      <c r="DL16" s="4"/>
      <c r="DM16" s="4"/>
      <c r="DN16" s="4"/>
      <c r="DO16" s="4"/>
      <c r="DP16" s="4"/>
      <c r="DQ16" s="4"/>
      <c r="DR16" s="21"/>
      <c r="DS16" s="4"/>
      <c r="DX16" s="66"/>
      <c r="DY16" s="66"/>
      <c r="DZ16" s="66"/>
      <c r="EA16" s="66"/>
      <c r="EB16" s="66"/>
      <c r="EC16" s="66"/>
      <c r="ED16" s="66"/>
      <c r="EE16" s="66"/>
      <c r="EF16" s="66"/>
      <c r="EG16" s="66"/>
      <c r="EH16" s="66"/>
      <c r="EI16" s="59"/>
      <c r="EJ16" s="58"/>
      <c r="EK16" s="67"/>
      <c r="EL16" s="58"/>
      <c r="EM16" s="64"/>
      <c r="EN16" s="68"/>
      <c r="EO16" s="25"/>
      <c r="GL16" s="17"/>
    </row>
    <row r="17" spans="2:194" s="17" customFormat="1" ht="31.95" customHeight="1" thickTop="1" thickBot="1" x14ac:dyDescent="0.35">
      <c r="B17" s="16" t="s">
        <v>9</v>
      </c>
      <c r="C17" s="16"/>
      <c r="D17" s="41"/>
      <c r="J17" s="124"/>
      <c r="K17" s="124"/>
      <c r="L17" s="124"/>
      <c r="M17" s="124"/>
      <c r="S17" s="18"/>
      <c r="T17" s="19" t="s">
        <v>19</v>
      </c>
      <c r="U17" s="19"/>
      <c r="V17" s="41"/>
      <c r="W17" s="18"/>
      <c r="X17" s="18"/>
      <c r="Y17" s="18"/>
      <c r="Z17" s="18"/>
      <c r="AA17" s="18"/>
      <c r="AB17" s="124"/>
      <c r="AC17" s="124"/>
      <c r="AD17" s="124"/>
      <c r="AE17" s="124"/>
      <c r="AF17" s="20"/>
      <c r="AG17" s="18"/>
      <c r="AJ17" s="18"/>
      <c r="AK17" s="18"/>
      <c r="AL17" s="19" t="s">
        <v>29</v>
      </c>
      <c r="AM17" s="19"/>
      <c r="AN17" s="41"/>
      <c r="AO17" s="18"/>
      <c r="AP17" s="18"/>
      <c r="AQ17" s="18"/>
      <c r="AR17" s="18"/>
      <c r="AS17" s="18"/>
      <c r="AT17" s="124"/>
      <c r="AU17" s="124"/>
      <c r="AV17" s="124"/>
      <c r="AW17" s="124"/>
      <c r="AX17" s="20"/>
      <c r="AY17" s="18"/>
      <c r="BB17" s="18"/>
      <c r="BC17" s="18"/>
      <c r="BD17" s="19" t="s">
        <v>39</v>
      </c>
      <c r="BE17" s="19"/>
      <c r="BF17" s="41"/>
      <c r="BG17" s="18"/>
      <c r="BH17" s="18"/>
      <c r="BI17" s="18"/>
      <c r="BJ17" s="18"/>
      <c r="BK17" s="18"/>
      <c r="BL17" s="124"/>
      <c r="BM17" s="124"/>
      <c r="BN17" s="124"/>
      <c r="BO17" s="124"/>
      <c r="BP17" s="20"/>
      <c r="BQ17" s="18"/>
      <c r="BT17" s="18"/>
      <c r="BU17" s="18"/>
      <c r="BV17" s="19" t="s">
        <v>49</v>
      </c>
      <c r="BW17" s="19"/>
      <c r="BX17" s="41"/>
      <c r="BY17" s="18"/>
      <c r="BZ17" s="18"/>
      <c r="CA17" s="18"/>
      <c r="CB17" s="18"/>
      <c r="CC17" s="18"/>
      <c r="CD17" s="124"/>
      <c r="CE17" s="124"/>
      <c r="CF17" s="124"/>
      <c r="CG17" s="124"/>
      <c r="CH17" s="20"/>
      <c r="CI17" s="18"/>
      <c r="CL17" s="18"/>
      <c r="CM17" s="18"/>
      <c r="CN17" s="19" t="s">
        <v>59</v>
      </c>
      <c r="CO17" s="19"/>
      <c r="CP17" s="41"/>
      <c r="CQ17" s="18"/>
      <c r="CR17" s="18"/>
      <c r="CS17" s="18"/>
      <c r="CT17" s="18"/>
      <c r="CU17" s="18"/>
      <c r="CV17" s="124"/>
      <c r="CW17" s="124"/>
      <c r="CX17" s="124"/>
      <c r="CY17" s="124"/>
      <c r="CZ17" s="20"/>
      <c r="DA17" s="18"/>
      <c r="DD17" s="4"/>
      <c r="DE17" s="4"/>
      <c r="DF17" s="15" t="s">
        <v>69</v>
      </c>
      <c r="DG17" s="15"/>
      <c r="DH17" s="41"/>
      <c r="DI17" s="4"/>
      <c r="DJ17" s="4"/>
      <c r="DK17" s="4"/>
      <c r="DL17" s="4"/>
      <c r="DM17" s="4"/>
      <c r="DR17" s="21"/>
      <c r="DS17" s="4"/>
      <c r="DX17" s="56" t="s">
        <v>80</v>
      </c>
      <c r="DY17" s="56"/>
      <c r="DZ17" s="81">
        <f>DH19</f>
        <v>0</v>
      </c>
      <c r="EA17" s="81">
        <f>DH11</f>
        <v>0</v>
      </c>
      <c r="EB17" s="81">
        <f>DH5</f>
        <v>0</v>
      </c>
      <c r="EC17" s="81">
        <f>DH21</f>
        <v>0</v>
      </c>
      <c r="ED17" s="81">
        <f>DH13</f>
        <v>0</v>
      </c>
      <c r="EE17" s="81">
        <f>DH17</f>
        <v>0</v>
      </c>
      <c r="EF17" s="81">
        <f>DH7</f>
        <v>0</v>
      </c>
      <c r="EG17" s="81">
        <f>DH15</f>
        <v>0</v>
      </c>
      <c r="EH17" s="81">
        <f>DH9</f>
        <v>0</v>
      </c>
      <c r="EI17" s="59"/>
      <c r="EJ17" s="61"/>
      <c r="EK17" s="62" t="s">
        <v>88</v>
      </c>
      <c r="EL17" s="63"/>
      <c r="EM17" s="64">
        <f>EF19</f>
        <v>0</v>
      </c>
      <c r="EN17" s="65"/>
      <c r="EO17" s="26"/>
    </row>
    <row r="18" spans="2:194" ht="4.95" customHeight="1" thickTop="1" thickBot="1" x14ac:dyDescent="0.35">
      <c r="S18" s="4"/>
      <c r="T18" s="15"/>
      <c r="U18" s="15"/>
      <c r="V18" s="2"/>
      <c r="W18" s="4"/>
      <c r="X18" s="4"/>
      <c r="Y18" s="4"/>
      <c r="Z18" s="4"/>
      <c r="AA18" s="4"/>
      <c r="AB18" s="4"/>
      <c r="AC18" s="4"/>
      <c r="AD18" s="4"/>
      <c r="AE18" s="4"/>
      <c r="AF18" s="4"/>
      <c r="AG18" s="4"/>
      <c r="AJ18" s="4"/>
      <c r="AK18" s="4"/>
      <c r="AL18" s="15"/>
      <c r="AM18" s="15"/>
      <c r="AN18" s="2"/>
      <c r="AO18" s="4"/>
      <c r="AP18" s="4"/>
      <c r="AQ18" s="4"/>
      <c r="AR18" s="4"/>
      <c r="AS18" s="4"/>
      <c r="AT18" s="4"/>
      <c r="AU18" s="4"/>
      <c r="AV18" s="4"/>
      <c r="AW18" s="4"/>
      <c r="AX18" s="4"/>
      <c r="AY18" s="4"/>
      <c r="BB18" s="4"/>
      <c r="BC18" s="4"/>
      <c r="BD18" s="15"/>
      <c r="BE18" s="15"/>
      <c r="BF18" s="2"/>
      <c r="BG18" s="4"/>
      <c r="BH18" s="4"/>
      <c r="BI18" s="4"/>
      <c r="BJ18" s="4"/>
      <c r="BK18" s="4"/>
      <c r="BL18" s="4"/>
      <c r="BM18" s="4"/>
      <c r="BN18" s="4"/>
      <c r="BO18" s="4"/>
      <c r="BP18" s="4"/>
      <c r="BQ18" s="4"/>
      <c r="BT18" s="4"/>
      <c r="BU18" s="4"/>
      <c r="BV18" s="15"/>
      <c r="BW18" s="15"/>
      <c r="BX18" s="2"/>
      <c r="BY18" s="4"/>
      <c r="BZ18" s="4"/>
      <c r="CA18" s="4"/>
      <c r="CB18" s="4"/>
      <c r="CC18" s="4"/>
      <c r="CD18" s="4"/>
      <c r="CE18" s="4"/>
      <c r="CF18" s="4"/>
      <c r="CG18" s="4"/>
      <c r="CH18" s="4"/>
      <c r="CI18" s="4"/>
      <c r="CL18" s="4"/>
      <c r="CM18" s="4"/>
      <c r="CN18" s="15"/>
      <c r="CO18" s="15"/>
      <c r="CP18" s="2"/>
      <c r="CQ18" s="4"/>
      <c r="CR18" s="4"/>
      <c r="CS18" s="4"/>
      <c r="CT18" s="4"/>
      <c r="CU18" s="4"/>
      <c r="CV18" s="4"/>
      <c r="CW18" s="4"/>
      <c r="CX18" s="4"/>
      <c r="CY18" s="4"/>
      <c r="CZ18" s="4"/>
      <c r="DA18" s="4"/>
      <c r="DD18" s="4"/>
      <c r="DE18" s="4"/>
      <c r="DF18" s="15"/>
      <c r="DG18" s="15"/>
      <c r="DH18" s="2"/>
      <c r="DI18" s="4"/>
      <c r="DJ18" s="4"/>
      <c r="DK18" s="4"/>
      <c r="DL18" s="4"/>
      <c r="DM18" s="4"/>
      <c r="DN18" s="4"/>
      <c r="DO18" s="4"/>
      <c r="DP18" s="4"/>
      <c r="DQ18" s="4"/>
      <c r="DR18" s="4"/>
      <c r="DS18" s="4"/>
      <c r="DX18" s="66"/>
      <c r="DY18" s="56"/>
      <c r="DZ18" s="66"/>
      <c r="EA18" s="66"/>
      <c r="EB18" s="66"/>
      <c r="EC18" s="66"/>
      <c r="ED18" s="66"/>
      <c r="EE18" s="66"/>
      <c r="EF18" s="66"/>
      <c r="EG18" s="66"/>
      <c r="EH18" s="66"/>
      <c r="EI18" s="59"/>
      <c r="EJ18" s="58"/>
      <c r="EK18" s="67"/>
      <c r="EL18" s="58"/>
      <c r="EM18" s="64"/>
      <c r="EN18" s="68"/>
      <c r="EO18" s="25"/>
      <c r="GL18" s="17"/>
    </row>
    <row r="19" spans="2:194" s="17" customFormat="1" ht="31.95" customHeight="1" thickTop="1" thickBot="1" x14ac:dyDescent="0.35">
      <c r="B19" s="16" t="s">
        <v>10</v>
      </c>
      <c r="C19" s="16"/>
      <c r="D19" s="41"/>
      <c r="S19" s="18"/>
      <c r="T19" s="19" t="s">
        <v>20</v>
      </c>
      <c r="U19" s="19"/>
      <c r="V19" s="41"/>
      <c r="W19" s="18"/>
      <c r="X19" s="18"/>
      <c r="Y19" s="18"/>
      <c r="Z19" s="18"/>
      <c r="AA19" s="18"/>
      <c r="AB19" s="18"/>
      <c r="AC19" s="18"/>
      <c r="AD19" s="18"/>
      <c r="AE19" s="18"/>
      <c r="AF19" s="18"/>
      <c r="AG19" s="18"/>
      <c r="AJ19" s="18"/>
      <c r="AK19" s="18"/>
      <c r="AL19" s="19" t="s">
        <v>30</v>
      </c>
      <c r="AM19" s="19"/>
      <c r="AN19" s="41"/>
      <c r="AO19" s="18"/>
      <c r="AP19" s="18"/>
      <c r="AQ19" s="18"/>
      <c r="AR19" s="18"/>
      <c r="AS19" s="18"/>
      <c r="AT19" s="18"/>
      <c r="AU19" s="18"/>
      <c r="AV19" s="18"/>
      <c r="AW19" s="18"/>
      <c r="AX19" s="18"/>
      <c r="AY19" s="18"/>
      <c r="BB19" s="18"/>
      <c r="BC19" s="18"/>
      <c r="BD19" s="19" t="s">
        <v>40</v>
      </c>
      <c r="BE19" s="19"/>
      <c r="BF19" s="41"/>
      <c r="BG19" s="18"/>
      <c r="BH19" s="18"/>
      <c r="BI19" s="18"/>
      <c r="BJ19" s="18"/>
      <c r="BK19" s="18"/>
      <c r="BL19" s="18"/>
      <c r="BM19" s="18"/>
      <c r="BN19" s="18"/>
      <c r="BO19" s="18"/>
      <c r="BP19" s="18"/>
      <c r="BQ19" s="18"/>
      <c r="BT19" s="18"/>
      <c r="BU19" s="18"/>
      <c r="BV19" s="19" t="s">
        <v>50</v>
      </c>
      <c r="BW19" s="19"/>
      <c r="BX19" s="41"/>
      <c r="BY19" s="18"/>
      <c r="BZ19" s="18"/>
      <c r="CA19" s="18"/>
      <c r="CB19" s="18"/>
      <c r="CC19" s="18"/>
      <c r="CD19" s="18"/>
      <c r="CE19" s="18"/>
      <c r="CF19" s="18"/>
      <c r="CG19" s="18"/>
      <c r="CH19" s="18"/>
      <c r="CI19" s="18"/>
      <c r="CL19" s="18"/>
      <c r="CM19" s="18"/>
      <c r="CN19" s="19" t="s">
        <v>60</v>
      </c>
      <c r="CO19" s="19"/>
      <c r="CP19" s="41"/>
      <c r="CQ19" s="18"/>
      <c r="CR19" s="18"/>
      <c r="CS19" s="18"/>
      <c r="CT19" s="18"/>
      <c r="CU19" s="18"/>
      <c r="CV19" s="18"/>
      <c r="CW19" s="18"/>
      <c r="CX19" s="18"/>
      <c r="CY19" s="18"/>
      <c r="CZ19" s="18"/>
      <c r="DA19" s="18"/>
      <c r="DD19" s="4"/>
      <c r="DE19" s="4"/>
      <c r="DF19" s="15" t="s">
        <v>70</v>
      </c>
      <c r="DG19" s="15"/>
      <c r="DH19" s="41"/>
      <c r="DI19" s="4"/>
      <c r="DJ19" s="4"/>
      <c r="DK19" s="4"/>
      <c r="DL19" s="4"/>
      <c r="DM19" s="4"/>
      <c r="DN19" s="4"/>
      <c r="DO19" s="4"/>
      <c r="DP19" s="4"/>
      <c r="DQ19" s="4"/>
      <c r="DR19" s="4"/>
      <c r="DS19" s="4"/>
      <c r="DX19" s="76" t="s">
        <v>73</v>
      </c>
      <c r="DY19" s="77"/>
      <c r="DZ19" s="78">
        <f t="shared" ref="DZ19:EH19" si="0">SUM(DZ5:DZ17)</f>
        <v>0</v>
      </c>
      <c r="EA19" s="78">
        <f t="shared" si="0"/>
        <v>0</v>
      </c>
      <c r="EB19" s="78">
        <f t="shared" si="0"/>
        <v>0</v>
      </c>
      <c r="EC19" s="78">
        <f t="shared" si="0"/>
        <v>0</v>
      </c>
      <c r="ED19" s="78">
        <f t="shared" si="0"/>
        <v>0</v>
      </c>
      <c r="EE19" s="78">
        <f t="shared" si="0"/>
        <v>0</v>
      </c>
      <c r="EF19" s="78">
        <f t="shared" si="0"/>
        <v>0</v>
      </c>
      <c r="EG19" s="78">
        <f t="shared" si="0"/>
        <v>0</v>
      </c>
      <c r="EH19" s="79">
        <f t="shared" si="0"/>
        <v>0</v>
      </c>
      <c r="EI19" s="69" t="str">
        <f>IF(SUM(DZ19:EH19)=70,"OK","Checksum NOK")</f>
        <v>Checksum NOK</v>
      </c>
      <c r="EJ19" s="61"/>
      <c r="EK19" s="74" t="s">
        <v>89</v>
      </c>
      <c r="EL19" s="75"/>
      <c r="EM19" s="64">
        <f>EG19</f>
        <v>0</v>
      </c>
      <c r="EN19" s="65"/>
      <c r="EO19" s="26"/>
    </row>
    <row r="20" spans="2:194" ht="4.95" customHeight="1" thickTop="1" thickBot="1" x14ac:dyDescent="0.35">
      <c r="S20" s="4"/>
      <c r="T20" s="15"/>
      <c r="U20" s="15"/>
      <c r="V20" s="2"/>
      <c r="W20" s="4"/>
      <c r="X20" s="4"/>
      <c r="Y20" s="4"/>
      <c r="Z20" s="4"/>
      <c r="AA20" s="4"/>
      <c r="AB20" s="4"/>
      <c r="AC20" s="4"/>
      <c r="AD20" s="4"/>
      <c r="AE20" s="4"/>
      <c r="AF20" s="4"/>
      <c r="AG20" s="4"/>
      <c r="AJ20" s="4"/>
      <c r="AK20" s="4"/>
      <c r="AL20" s="15"/>
      <c r="AM20" s="15"/>
      <c r="AN20" s="2"/>
      <c r="AO20" s="4"/>
      <c r="AP20" s="4"/>
      <c r="AQ20" s="4"/>
      <c r="AR20" s="4"/>
      <c r="AS20" s="4"/>
      <c r="AT20" s="4"/>
      <c r="AU20" s="4"/>
      <c r="AV20" s="4"/>
      <c r="AW20" s="4"/>
      <c r="AX20" s="4"/>
      <c r="AY20" s="4"/>
      <c r="BB20" s="4"/>
      <c r="BC20" s="4"/>
      <c r="BD20" s="15"/>
      <c r="BE20" s="15"/>
      <c r="BF20" s="2"/>
      <c r="BG20" s="4"/>
      <c r="BH20" s="4"/>
      <c r="BI20" s="4"/>
      <c r="BJ20" s="4"/>
      <c r="BK20" s="4"/>
      <c r="BL20" s="4"/>
      <c r="BM20" s="4"/>
      <c r="BN20" s="4"/>
      <c r="BO20" s="4"/>
      <c r="BP20" s="4"/>
      <c r="BQ20" s="4"/>
      <c r="BT20" s="4"/>
      <c r="BU20" s="4"/>
      <c r="BV20" s="15"/>
      <c r="BW20" s="15"/>
      <c r="BX20" s="2"/>
      <c r="BY20" s="4"/>
      <c r="BZ20" s="4"/>
      <c r="CA20" s="4"/>
      <c r="CB20" s="4"/>
      <c r="CC20" s="4"/>
      <c r="CD20" s="4"/>
      <c r="CE20" s="4"/>
      <c r="CF20" s="4"/>
      <c r="CG20" s="4"/>
      <c r="CH20" s="4"/>
      <c r="CI20" s="4"/>
      <c r="CL20" s="4"/>
      <c r="CM20" s="4"/>
      <c r="CN20" s="15"/>
      <c r="CO20" s="15"/>
      <c r="CP20" s="2"/>
      <c r="CQ20" s="4"/>
      <c r="CR20" s="4"/>
      <c r="CS20" s="4"/>
      <c r="CT20" s="4"/>
      <c r="CU20" s="4"/>
      <c r="CV20" s="4"/>
      <c r="CW20" s="4"/>
      <c r="CX20" s="4"/>
      <c r="CY20" s="4"/>
      <c r="CZ20" s="4"/>
      <c r="DA20" s="4"/>
      <c r="DD20" s="4"/>
      <c r="DE20" s="4"/>
      <c r="DF20" s="15"/>
      <c r="DG20" s="15"/>
      <c r="DH20" s="2"/>
      <c r="DI20" s="4"/>
      <c r="DJ20" s="4"/>
      <c r="DK20" s="4"/>
      <c r="DL20" s="4"/>
      <c r="DM20" s="4"/>
      <c r="DN20" s="4"/>
      <c r="DO20" s="4"/>
      <c r="DP20" s="4"/>
      <c r="DQ20" s="4"/>
      <c r="DR20" s="4"/>
      <c r="DS20" s="4"/>
      <c r="DX20" s="58"/>
      <c r="DY20" s="58"/>
      <c r="DZ20" s="58"/>
      <c r="EA20" s="58"/>
      <c r="EB20" s="70"/>
      <c r="EC20" s="70"/>
      <c r="ED20" s="70"/>
      <c r="EE20" s="70"/>
      <c r="EF20" s="70"/>
      <c r="EG20" s="70"/>
      <c r="EH20" s="70"/>
      <c r="EI20" s="59"/>
      <c r="EJ20" s="58"/>
      <c r="EK20" s="67"/>
      <c r="EL20" s="58"/>
      <c r="EM20" s="64"/>
      <c r="EN20" s="68"/>
      <c r="EO20" s="25"/>
      <c r="GL20" s="17"/>
    </row>
    <row r="21" spans="2:194" s="17" customFormat="1" ht="31.95" customHeight="1" thickTop="1" thickBot="1" x14ac:dyDescent="0.35">
      <c r="B21" s="16" t="s">
        <v>11</v>
      </c>
      <c r="C21" s="16"/>
      <c r="D21" s="41"/>
      <c r="S21" s="18"/>
      <c r="T21" s="19" t="s">
        <v>21</v>
      </c>
      <c r="U21" s="19"/>
      <c r="V21" s="41"/>
      <c r="W21" s="18"/>
      <c r="X21" s="18"/>
      <c r="Y21" s="18"/>
      <c r="Z21" s="18"/>
      <c r="AA21" s="18"/>
      <c r="AB21" s="18"/>
      <c r="AC21" s="18"/>
      <c r="AD21" s="18"/>
      <c r="AE21" s="18"/>
      <c r="AF21" s="18"/>
      <c r="AG21" s="18"/>
      <c r="AJ21" s="18"/>
      <c r="AK21" s="18"/>
      <c r="AL21" s="19" t="s">
        <v>31</v>
      </c>
      <c r="AM21" s="19"/>
      <c r="AN21" s="41"/>
      <c r="AO21" s="18"/>
      <c r="AP21" s="18"/>
      <c r="AQ21" s="18"/>
      <c r="AR21" s="18"/>
      <c r="AS21" s="18"/>
      <c r="AT21" s="18"/>
      <c r="AU21" s="18"/>
      <c r="AV21" s="18"/>
      <c r="AW21" s="18"/>
      <c r="AX21" s="18"/>
      <c r="AY21" s="18"/>
      <c r="BB21" s="18"/>
      <c r="BC21" s="18"/>
      <c r="BD21" s="19" t="s">
        <v>41</v>
      </c>
      <c r="BE21" s="19"/>
      <c r="BF21" s="41"/>
      <c r="BG21" s="18"/>
      <c r="BH21" s="18"/>
      <c r="BI21" s="18"/>
      <c r="BJ21" s="18"/>
      <c r="BK21" s="18"/>
      <c r="BL21" s="18"/>
      <c r="BM21" s="18"/>
      <c r="BN21" s="18"/>
      <c r="BO21" s="18"/>
      <c r="BP21" s="18"/>
      <c r="BQ21" s="18"/>
      <c r="BT21" s="18"/>
      <c r="BU21" s="18"/>
      <c r="BV21" s="19" t="s">
        <v>51</v>
      </c>
      <c r="BW21" s="19"/>
      <c r="BX21" s="41"/>
      <c r="BY21" s="18"/>
      <c r="BZ21" s="18"/>
      <c r="CA21" s="18"/>
      <c r="CB21" s="18"/>
      <c r="CC21" s="18"/>
      <c r="CD21" s="18"/>
      <c r="CE21" s="18"/>
      <c r="CF21" s="18"/>
      <c r="CG21" s="18"/>
      <c r="CH21" s="18"/>
      <c r="CI21" s="18"/>
      <c r="CL21" s="18"/>
      <c r="CM21" s="18"/>
      <c r="CN21" s="19" t="s">
        <v>61</v>
      </c>
      <c r="CO21" s="19"/>
      <c r="CP21" s="41"/>
      <c r="CQ21" s="18"/>
      <c r="CR21" s="18"/>
      <c r="CS21" s="18"/>
      <c r="CT21" s="18"/>
      <c r="CU21" s="18"/>
      <c r="CV21" s="18"/>
      <c r="CW21" s="18"/>
      <c r="CX21" s="18"/>
      <c r="CY21" s="18"/>
      <c r="CZ21" s="18"/>
      <c r="DA21" s="18"/>
      <c r="DD21" s="4"/>
      <c r="DE21" s="4"/>
      <c r="DF21" s="15" t="s">
        <v>71</v>
      </c>
      <c r="DG21" s="15"/>
      <c r="DH21" s="41"/>
      <c r="DI21" s="4"/>
      <c r="DJ21" s="4"/>
      <c r="DK21" s="4"/>
      <c r="DL21" s="4"/>
      <c r="DM21" s="4"/>
      <c r="DN21" s="4"/>
      <c r="DO21" s="4"/>
      <c r="DP21" s="4"/>
      <c r="DQ21" s="4"/>
      <c r="DR21" s="4"/>
      <c r="DS21" s="4"/>
      <c r="DX21" s="56" t="s">
        <v>91</v>
      </c>
      <c r="DY21" s="55"/>
      <c r="DZ21" s="55"/>
      <c r="EA21" s="55"/>
      <c r="EB21" s="70"/>
      <c r="EC21" s="70"/>
      <c r="ED21" s="70"/>
      <c r="EE21" s="70"/>
      <c r="EF21" s="70"/>
      <c r="EG21" s="70"/>
      <c r="EH21" s="70"/>
      <c r="EI21" s="59"/>
      <c r="EJ21" s="61"/>
      <c r="EK21" s="62" t="s">
        <v>90</v>
      </c>
      <c r="EL21" s="63"/>
      <c r="EM21" s="64">
        <f>EH19</f>
        <v>0</v>
      </c>
      <c r="EN21" s="65"/>
      <c r="EO21" s="26"/>
    </row>
    <row r="22" spans="2:194" ht="4.95" customHeight="1" thickTop="1" x14ac:dyDescent="0.3">
      <c r="D22" s="42"/>
      <c r="V22" s="42"/>
      <c r="AJ22" s="4"/>
      <c r="AK22" s="4"/>
      <c r="AL22" s="5"/>
      <c r="AM22" s="5"/>
      <c r="AN22" s="42"/>
      <c r="AO22" s="4"/>
      <c r="AP22" s="4"/>
      <c r="AQ22" s="4"/>
      <c r="AR22" s="4"/>
      <c r="AS22" s="4"/>
      <c r="AT22" s="4"/>
      <c r="AU22" s="4"/>
      <c r="AV22" s="4"/>
      <c r="AW22" s="4"/>
      <c r="AX22" s="4"/>
      <c r="AY22" s="4"/>
      <c r="BB22" s="4"/>
      <c r="BC22" s="4"/>
      <c r="BD22" s="5"/>
      <c r="BE22" s="5"/>
      <c r="BF22" s="42"/>
      <c r="BG22" s="4"/>
      <c r="BH22" s="4"/>
      <c r="BI22" s="4"/>
      <c r="BJ22" s="4"/>
      <c r="BK22" s="4"/>
      <c r="BL22" s="4"/>
      <c r="BM22" s="4"/>
      <c r="BN22" s="4"/>
      <c r="BO22" s="4"/>
      <c r="BP22" s="4"/>
      <c r="BQ22" s="4"/>
      <c r="BT22" s="4"/>
      <c r="BU22" s="4"/>
      <c r="BV22" s="5"/>
      <c r="BW22" s="5"/>
      <c r="BX22" s="42"/>
      <c r="BY22" s="4"/>
      <c r="BZ22" s="4"/>
      <c r="CA22" s="4"/>
      <c r="CB22" s="4"/>
      <c r="CC22" s="4"/>
      <c r="CD22" s="4"/>
      <c r="CE22" s="4"/>
      <c r="CF22" s="4"/>
      <c r="CG22" s="4"/>
      <c r="CH22" s="4"/>
      <c r="CI22" s="4"/>
      <c r="CL22" s="4"/>
      <c r="CM22" s="4"/>
      <c r="CN22" s="15"/>
      <c r="CO22" s="15"/>
      <c r="CP22" s="42"/>
      <c r="CQ22" s="4"/>
      <c r="CR22" s="4"/>
      <c r="CS22" s="4"/>
      <c r="CT22" s="4"/>
      <c r="CU22" s="4"/>
      <c r="CV22" s="4"/>
      <c r="CW22" s="4"/>
      <c r="CX22" s="4"/>
      <c r="CY22" s="4"/>
      <c r="CZ22" s="4"/>
      <c r="DA22" s="4"/>
      <c r="DD22" s="4"/>
      <c r="DE22" s="4"/>
      <c r="DF22" s="5"/>
      <c r="DG22" s="5"/>
      <c r="DH22" s="42"/>
      <c r="DI22" s="4"/>
      <c r="DJ22" s="4"/>
      <c r="DK22" s="4"/>
      <c r="DL22" s="4"/>
      <c r="DM22" s="4"/>
      <c r="DN22" s="4"/>
      <c r="DO22" s="4"/>
      <c r="DP22" s="4"/>
      <c r="DQ22" s="4"/>
      <c r="DR22" s="4"/>
      <c r="DS22" s="4"/>
      <c r="DX22" s="58"/>
      <c r="DY22" s="58"/>
      <c r="DZ22" s="58"/>
      <c r="EA22" s="70"/>
      <c r="EB22" s="70"/>
      <c r="EC22" s="70"/>
      <c r="ED22" s="70"/>
      <c r="EE22" s="70"/>
      <c r="EF22" s="70"/>
      <c r="EG22" s="70"/>
      <c r="EH22" s="70"/>
      <c r="EI22" s="59"/>
      <c r="EJ22" s="55"/>
      <c r="EK22" s="55"/>
      <c r="EL22" s="55"/>
      <c r="EM22" s="55"/>
      <c r="EN22" s="55"/>
      <c r="GL22" s="17"/>
    </row>
    <row r="23" spans="2:194" ht="12.75" customHeight="1" x14ac:dyDescent="0.3">
      <c r="F23" s="122"/>
      <c r="G23" s="122"/>
      <c r="H23" s="122"/>
      <c r="I23" s="122"/>
      <c r="J23" s="122"/>
      <c r="K23" s="122"/>
      <c r="L23" s="122"/>
      <c r="M23" s="122"/>
      <c r="N23" s="122"/>
      <c r="DX23" s="58"/>
      <c r="DY23" s="58"/>
      <c r="DZ23" s="58"/>
      <c r="EA23" s="71"/>
      <c r="EB23" s="70"/>
      <c r="EC23" s="70"/>
      <c r="ED23" s="70"/>
      <c r="EE23" s="70"/>
      <c r="EF23" s="70"/>
      <c r="EG23" s="70"/>
      <c r="EH23" s="70"/>
      <c r="EI23" s="59"/>
      <c r="EJ23" s="58"/>
      <c r="EK23" s="58"/>
      <c r="EL23" s="58"/>
      <c r="EM23" s="58"/>
      <c r="EN23" s="58"/>
      <c r="GL23" s="17"/>
    </row>
    <row r="24" spans="2:194" s="17" customFormat="1" ht="19.95" customHeight="1" x14ac:dyDescent="0.3">
      <c r="B24" s="16"/>
      <c r="C24" s="16"/>
      <c r="D24" s="2"/>
      <c r="F24" s="122"/>
      <c r="G24" s="122"/>
      <c r="H24" s="122"/>
      <c r="I24" s="122"/>
      <c r="J24" s="122"/>
      <c r="K24" s="122"/>
      <c r="L24" s="122"/>
      <c r="M24" s="122"/>
      <c r="N24" s="122"/>
      <c r="DX24" s="55"/>
      <c r="DY24" s="55"/>
      <c r="DZ24" s="55"/>
      <c r="EA24" s="55"/>
      <c r="EB24" s="72"/>
      <c r="EC24" s="72"/>
      <c r="ED24" s="72"/>
      <c r="EE24" s="72"/>
      <c r="EF24" s="72"/>
      <c r="EG24" s="72"/>
      <c r="EH24" s="72"/>
      <c r="EI24" s="62"/>
      <c r="EJ24" s="55"/>
      <c r="EK24" s="55"/>
      <c r="EL24" s="55"/>
      <c r="EM24" s="55"/>
      <c r="EN24" s="55"/>
    </row>
    <row r="25" spans="2:194" s="17" customFormat="1" ht="19.95" customHeight="1" x14ac:dyDescent="0.3">
      <c r="B25" s="16"/>
      <c r="C25" s="16"/>
      <c r="D25" s="2"/>
      <c r="F25" s="122"/>
      <c r="G25" s="122"/>
      <c r="H25" s="122"/>
      <c r="I25" s="122"/>
      <c r="J25" s="122"/>
      <c r="K25" s="122"/>
      <c r="L25" s="122"/>
      <c r="M25" s="122"/>
      <c r="N25" s="122"/>
      <c r="DX25" s="55"/>
      <c r="DY25" s="55"/>
      <c r="DZ25" s="55"/>
      <c r="EA25" s="55"/>
      <c r="EB25" s="72"/>
      <c r="EC25" s="72"/>
      <c r="ED25" s="72"/>
      <c r="EE25" s="72"/>
      <c r="EF25" s="72"/>
      <c r="EG25" s="72"/>
      <c r="EH25" s="72"/>
      <c r="EI25" s="62"/>
      <c r="EJ25" s="55"/>
      <c r="EK25" s="55"/>
      <c r="EL25" s="55"/>
      <c r="EM25" s="55"/>
      <c r="EN25" s="55"/>
    </row>
    <row r="26" spans="2:194" s="17" customFormat="1" ht="19.95" customHeight="1" x14ac:dyDescent="0.3">
      <c r="B26" s="16"/>
      <c r="C26" s="16"/>
      <c r="D26" s="2"/>
      <c r="DX26" s="55"/>
      <c r="DY26" s="55"/>
      <c r="DZ26" s="55"/>
      <c r="EA26" s="55"/>
      <c r="EB26" s="55"/>
      <c r="EC26" s="55"/>
      <c r="ED26" s="55"/>
      <c r="EE26" s="55"/>
      <c r="EF26" s="55"/>
      <c r="EG26" s="55"/>
      <c r="EH26" s="55"/>
      <c r="EI26" s="55"/>
      <c r="EJ26" s="55"/>
      <c r="EK26" s="55"/>
      <c r="EL26" s="55"/>
      <c r="EM26" s="55"/>
      <c r="EN26" s="55"/>
    </row>
    <row r="27" spans="2:194" s="17" customFormat="1" ht="19.95" customHeight="1" x14ac:dyDescent="0.3">
      <c r="B27" s="16"/>
      <c r="C27" s="16"/>
      <c r="D27" s="2"/>
      <c r="DX27" s="55"/>
      <c r="DY27" s="55"/>
      <c r="DZ27" s="55"/>
      <c r="EA27" s="55"/>
      <c r="EB27" s="55"/>
      <c r="EC27" s="55"/>
      <c r="ED27" s="55"/>
      <c r="EE27" s="55"/>
      <c r="EF27" s="55"/>
      <c r="EG27" s="55"/>
      <c r="EH27" s="55"/>
      <c r="EI27" s="55"/>
      <c r="EJ27" s="55"/>
      <c r="EK27" s="55"/>
      <c r="EL27" s="55"/>
      <c r="EM27" s="55"/>
      <c r="EN27" s="55"/>
    </row>
    <row r="28" spans="2:194" s="17" customFormat="1" ht="19.95" customHeight="1" x14ac:dyDescent="0.3">
      <c r="B28" s="16"/>
      <c r="C28" s="16"/>
      <c r="D28" s="2"/>
      <c r="DX28" s="55"/>
      <c r="DY28" s="55"/>
      <c r="DZ28" s="55"/>
      <c r="EA28" s="55"/>
      <c r="EB28" s="55"/>
      <c r="EC28" s="55"/>
      <c r="ED28" s="55"/>
      <c r="EE28" s="55"/>
      <c r="EF28" s="55"/>
      <c r="EG28" s="55"/>
      <c r="EH28" s="55"/>
      <c r="EI28" s="55"/>
      <c r="EJ28" s="55"/>
      <c r="EK28" s="55"/>
      <c r="EL28" s="55"/>
      <c r="EM28" s="55"/>
      <c r="EN28" s="55"/>
    </row>
    <row r="29" spans="2:194" s="17" customFormat="1" ht="19.95" customHeight="1" x14ac:dyDescent="0.3">
      <c r="B29" s="16"/>
      <c r="C29" s="16"/>
      <c r="D29" s="2"/>
      <c r="P29" s="18"/>
      <c r="Q29" s="18"/>
      <c r="R29" s="18"/>
      <c r="S29" s="18"/>
      <c r="DX29" s="55"/>
      <c r="DY29" s="55"/>
      <c r="DZ29" s="55"/>
      <c r="EA29" s="55"/>
      <c r="EB29" s="55"/>
      <c r="EC29" s="55"/>
      <c r="ED29" s="55"/>
      <c r="EE29" s="55"/>
      <c r="EF29" s="55"/>
      <c r="EG29" s="55"/>
      <c r="EH29" s="55"/>
      <c r="EI29" s="55"/>
      <c r="EJ29" s="55"/>
      <c r="EK29" s="55"/>
      <c r="EL29" s="55"/>
      <c r="EM29" s="55"/>
      <c r="EN29" s="55"/>
    </row>
    <row r="30" spans="2:194" s="17" customFormat="1" ht="19.95" customHeight="1" x14ac:dyDescent="0.3">
      <c r="B30" s="16"/>
      <c r="C30" s="16"/>
      <c r="D30" s="2"/>
      <c r="P30" s="10"/>
      <c r="Q30" s="10"/>
      <c r="R30" s="10"/>
      <c r="S30" s="10"/>
      <c r="DX30" s="55"/>
      <c r="DY30" s="55"/>
      <c r="DZ30" s="55"/>
      <c r="EA30" s="55"/>
      <c r="EB30" s="55"/>
      <c r="EC30" s="55"/>
      <c r="ED30" s="55"/>
      <c r="EE30" s="55"/>
      <c r="EF30" s="55"/>
      <c r="EG30" s="55"/>
      <c r="EH30" s="55"/>
      <c r="EI30" s="55"/>
      <c r="EJ30" s="55"/>
      <c r="EK30" s="55"/>
      <c r="EL30" s="55"/>
      <c r="EM30" s="55"/>
      <c r="EN30" s="55"/>
    </row>
    <row r="31" spans="2:194" s="17" customFormat="1" ht="19.95" customHeight="1" x14ac:dyDescent="0.3">
      <c r="B31" s="16"/>
      <c r="C31" s="16"/>
      <c r="D31" s="2"/>
      <c r="P31" s="18"/>
      <c r="Q31" s="18"/>
      <c r="R31" s="18"/>
      <c r="S31" s="18"/>
      <c r="DX31" s="55"/>
      <c r="DY31" s="55"/>
      <c r="DZ31" s="55"/>
      <c r="EA31" s="55"/>
      <c r="EB31" s="55"/>
      <c r="EC31" s="55"/>
      <c r="ED31" s="55"/>
      <c r="EE31" s="55"/>
      <c r="EF31" s="55"/>
      <c r="EG31" s="55"/>
      <c r="EH31" s="55"/>
      <c r="EI31" s="55"/>
      <c r="EJ31" s="55"/>
      <c r="EK31" s="55"/>
      <c r="EL31" s="55"/>
      <c r="EM31" s="55"/>
      <c r="EN31" s="55"/>
    </row>
    <row r="32" spans="2:194" s="17" customFormat="1" ht="19.95" customHeight="1" x14ac:dyDescent="0.3">
      <c r="B32" s="16"/>
      <c r="C32" s="16"/>
      <c r="D32" s="2"/>
      <c r="P32" s="18"/>
      <c r="Q32" s="18"/>
      <c r="R32" s="18"/>
      <c r="S32" s="18"/>
      <c r="DX32" s="55"/>
      <c r="DY32" s="55"/>
      <c r="DZ32" s="55"/>
      <c r="EA32" s="55"/>
      <c r="EB32" s="55"/>
      <c r="EC32" s="55"/>
      <c r="ED32" s="55"/>
      <c r="EE32" s="55"/>
      <c r="EF32" s="55"/>
      <c r="EG32" s="55"/>
      <c r="EH32" s="55"/>
      <c r="EI32" s="55"/>
      <c r="EJ32" s="55"/>
      <c r="EK32" s="55"/>
      <c r="EL32" s="55"/>
      <c r="EM32" s="55"/>
      <c r="EN32" s="55"/>
    </row>
    <row r="33" spans="16:144" x14ac:dyDescent="0.3">
      <c r="P33" s="4"/>
      <c r="Q33" s="4"/>
      <c r="R33" s="4"/>
      <c r="S33" s="4"/>
      <c r="DX33" s="58"/>
      <c r="DY33" s="58"/>
      <c r="DZ33" s="58"/>
      <c r="EA33" s="73"/>
      <c r="EB33" s="58"/>
      <c r="EC33" s="58"/>
      <c r="ED33" s="58"/>
      <c r="EE33" s="58"/>
      <c r="EF33" s="58"/>
      <c r="EG33" s="58"/>
      <c r="EH33" s="58"/>
      <c r="EI33" s="58"/>
      <c r="EJ33" s="58"/>
      <c r="EK33" s="58"/>
      <c r="EL33" s="58"/>
      <c r="EM33" s="58"/>
      <c r="EN33" s="58"/>
    </row>
    <row r="34" spans="16:144" x14ac:dyDescent="0.3">
      <c r="P34" s="4"/>
      <c r="Q34" s="4"/>
      <c r="R34" s="4"/>
      <c r="S34" s="4"/>
      <c r="DX34" s="58"/>
      <c r="DY34" s="58"/>
      <c r="DZ34" s="58"/>
      <c r="EA34" s="58"/>
      <c r="EB34" s="58"/>
      <c r="EC34" s="58"/>
      <c r="ED34" s="58"/>
      <c r="EE34" s="58"/>
      <c r="EF34" s="58"/>
      <c r="EG34" s="58"/>
      <c r="EH34" s="58"/>
      <c r="EI34" s="58"/>
      <c r="EJ34" s="58"/>
      <c r="EK34" s="58"/>
      <c r="EL34" s="58"/>
      <c r="EM34" s="58"/>
      <c r="EN34" s="58"/>
    </row>
    <row r="35" spans="16:144" x14ac:dyDescent="0.3">
      <c r="P35" s="4"/>
      <c r="Q35" s="4"/>
      <c r="R35" s="4"/>
      <c r="S35" s="4"/>
      <c r="DX35" s="58"/>
      <c r="DY35" s="58"/>
      <c r="DZ35" s="58"/>
      <c r="EA35" s="58"/>
      <c r="EB35" s="58"/>
      <c r="EC35" s="58"/>
      <c r="ED35" s="58"/>
      <c r="EE35" s="58"/>
      <c r="EF35" s="58"/>
      <c r="EG35" s="58"/>
      <c r="EH35" s="58"/>
      <c r="EI35" s="58"/>
      <c r="EJ35" s="58"/>
      <c r="EK35" s="58"/>
      <c r="EL35" s="58"/>
      <c r="EM35" s="58"/>
      <c r="EN35" s="58"/>
    </row>
    <row r="36" spans="16:144" x14ac:dyDescent="0.3">
      <c r="P36" s="4"/>
      <c r="Q36" s="4"/>
      <c r="R36" s="4"/>
      <c r="S36" s="4"/>
      <c r="DX36" s="58"/>
      <c r="DY36" s="58"/>
      <c r="DZ36" s="58"/>
      <c r="EA36" s="58"/>
      <c r="EB36" s="58"/>
      <c r="EC36" s="58"/>
      <c r="ED36" s="58"/>
      <c r="EE36" s="58"/>
      <c r="EF36" s="58"/>
      <c r="EG36" s="58"/>
      <c r="EH36" s="58"/>
      <c r="EI36" s="58"/>
      <c r="EJ36" s="58"/>
      <c r="EK36" s="58"/>
      <c r="EL36" s="58"/>
      <c r="EM36" s="58"/>
      <c r="EN36" s="58"/>
    </row>
    <row r="37" spans="16:144" x14ac:dyDescent="0.3">
      <c r="P37" s="4"/>
      <c r="Q37" s="4"/>
      <c r="R37" s="4"/>
      <c r="S37" s="4"/>
      <c r="DX37" s="58"/>
      <c r="DY37" s="58"/>
      <c r="DZ37" s="58"/>
      <c r="EA37" s="58"/>
      <c r="EB37" s="58"/>
      <c r="EC37" s="58"/>
      <c r="ED37" s="58"/>
      <c r="EE37" s="58"/>
      <c r="EF37" s="58"/>
      <c r="EG37" s="58"/>
      <c r="EH37" s="58"/>
      <c r="EI37" s="58"/>
      <c r="EJ37" s="58"/>
      <c r="EK37" s="58"/>
      <c r="EL37" s="58"/>
      <c r="EM37" s="58"/>
      <c r="EN37" s="58"/>
    </row>
    <row r="38" spans="16:144" x14ac:dyDescent="0.3">
      <c r="P38" s="4"/>
      <c r="Q38" s="4"/>
      <c r="R38" s="4"/>
      <c r="S38" s="4"/>
      <c r="DX38" s="58"/>
      <c r="DY38" s="58"/>
      <c r="DZ38" s="58"/>
      <c r="EA38" s="58"/>
      <c r="EB38" s="58"/>
      <c r="EC38" s="58"/>
      <c r="ED38" s="58"/>
      <c r="EE38" s="58"/>
      <c r="EF38" s="58"/>
      <c r="EG38" s="58"/>
      <c r="EH38" s="58"/>
      <c r="EI38" s="58"/>
      <c r="EJ38" s="58"/>
      <c r="EK38" s="58"/>
      <c r="EL38" s="58"/>
      <c r="EM38" s="58"/>
      <c r="EN38" s="58"/>
    </row>
    <row r="39" spans="16:144" x14ac:dyDescent="0.3">
      <c r="P39" s="4"/>
      <c r="Q39" s="4"/>
      <c r="R39" s="4"/>
      <c r="S39" s="4"/>
      <c r="DX39" s="58"/>
      <c r="DY39" s="58"/>
      <c r="DZ39" s="58"/>
      <c r="EA39" s="58"/>
      <c r="EB39" s="58"/>
      <c r="EC39" s="58"/>
      <c r="ED39" s="58"/>
      <c r="EE39" s="58"/>
      <c r="EF39" s="58"/>
      <c r="EG39" s="58"/>
      <c r="EH39" s="58"/>
      <c r="EI39" s="58"/>
      <c r="EJ39" s="58"/>
      <c r="EK39" s="58"/>
      <c r="EL39" s="58"/>
      <c r="EM39" s="58"/>
      <c r="EN39" s="58"/>
    </row>
    <row r="40" spans="16:144" x14ac:dyDescent="0.3">
      <c r="P40" s="4"/>
      <c r="Q40" s="4"/>
      <c r="R40" s="4"/>
      <c r="S40" s="4"/>
      <c r="DX40" s="58"/>
      <c r="DY40" s="58"/>
      <c r="DZ40" s="58"/>
      <c r="EA40" s="58"/>
      <c r="EB40" s="58"/>
      <c r="EC40" s="58"/>
      <c r="ED40" s="58"/>
      <c r="EE40" s="58"/>
      <c r="EF40" s="58"/>
      <c r="EG40" s="58"/>
      <c r="EH40" s="58"/>
      <c r="EI40" s="58"/>
      <c r="EJ40" s="58"/>
      <c r="EK40" s="58"/>
      <c r="EL40" s="58"/>
      <c r="EM40" s="58"/>
      <c r="EN40" s="58"/>
    </row>
    <row r="41" spans="16:144" x14ac:dyDescent="0.3">
      <c r="P41" s="4"/>
      <c r="Q41" s="4"/>
      <c r="R41" s="4"/>
      <c r="S41" s="4"/>
      <c r="DX41" s="58"/>
      <c r="DY41" s="58"/>
      <c r="DZ41" s="58"/>
      <c r="EA41" s="58"/>
      <c r="EB41" s="58"/>
      <c r="EC41" s="58"/>
      <c r="ED41" s="58"/>
      <c r="EE41" s="58"/>
      <c r="EF41" s="58"/>
      <c r="EG41" s="58"/>
      <c r="EH41" s="58"/>
      <c r="EI41" s="58"/>
      <c r="EJ41" s="58"/>
      <c r="EK41" s="58"/>
      <c r="EL41" s="58"/>
      <c r="EM41" s="58"/>
      <c r="EN41" s="58"/>
    </row>
    <row r="42" spans="16:144" x14ac:dyDescent="0.3">
      <c r="P42" s="4"/>
      <c r="Q42" s="4"/>
      <c r="R42" s="4"/>
      <c r="S42" s="4"/>
      <c r="DX42" s="58"/>
      <c r="DY42" s="58"/>
      <c r="DZ42" s="58"/>
      <c r="EA42" s="58"/>
      <c r="EB42" s="58"/>
      <c r="EC42" s="58"/>
      <c r="ED42" s="58"/>
      <c r="EE42" s="58"/>
      <c r="EF42" s="58"/>
      <c r="EG42" s="58"/>
      <c r="EH42" s="58"/>
      <c r="EI42" s="58"/>
      <c r="EJ42" s="58"/>
      <c r="EK42" s="58"/>
      <c r="EL42" s="58"/>
      <c r="EM42" s="58"/>
      <c r="EN42" s="58"/>
    </row>
    <row r="43" spans="16:144" x14ac:dyDescent="0.3">
      <c r="P43" s="4"/>
      <c r="Q43" s="4"/>
      <c r="R43" s="4"/>
      <c r="S43" s="4"/>
      <c r="DX43" s="58"/>
      <c r="DY43" s="58"/>
      <c r="DZ43" s="58"/>
      <c r="EA43" s="58"/>
      <c r="EB43" s="58"/>
      <c r="EC43" s="58"/>
      <c r="ED43" s="58"/>
      <c r="EE43" s="58"/>
      <c r="EF43" s="58"/>
      <c r="EG43" s="58"/>
      <c r="EH43" s="58"/>
      <c r="EI43" s="58"/>
      <c r="EJ43" s="58"/>
      <c r="EK43" s="58"/>
      <c r="EL43" s="58"/>
      <c r="EM43" s="58"/>
      <c r="EN43" s="58"/>
    </row>
    <row r="44" spans="16:144" x14ac:dyDescent="0.3">
      <c r="P44" s="4"/>
      <c r="Q44" s="4"/>
      <c r="R44" s="4"/>
      <c r="S44" s="4"/>
      <c r="DX44" s="58"/>
      <c r="DY44" s="58"/>
      <c r="DZ44" s="58"/>
      <c r="EA44" s="58"/>
      <c r="EB44" s="58"/>
      <c r="EC44" s="58"/>
      <c r="ED44" s="58"/>
      <c r="EE44" s="58"/>
      <c r="EF44" s="58"/>
      <c r="EG44" s="58"/>
      <c r="EH44" s="58"/>
      <c r="EI44" s="58"/>
      <c r="EJ44" s="58"/>
      <c r="EK44" s="58"/>
      <c r="EL44" s="58"/>
      <c r="EM44" s="58"/>
      <c r="EN44" s="58"/>
    </row>
    <row r="45" spans="16:144" x14ac:dyDescent="0.3">
      <c r="P45" s="4"/>
      <c r="Q45" s="4"/>
      <c r="R45" s="4"/>
      <c r="S45" s="4"/>
      <c r="DX45" s="58"/>
      <c r="DY45" s="58"/>
      <c r="DZ45" s="58"/>
      <c r="EA45" s="58"/>
      <c r="EB45" s="58"/>
      <c r="EC45" s="58"/>
      <c r="ED45" s="58"/>
      <c r="EE45" s="58"/>
      <c r="EF45" s="58"/>
      <c r="EG45" s="58"/>
      <c r="EH45" s="58"/>
      <c r="EI45" s="58"/>
      <c r="EJ45" s="58"/>
      <c r="EK45" s="58"/>
      <c r="EL45" s="58"/>
      <c r="EM45" s="58"/>
      <c r="EN45" s="58"/>
    </row>
    <row r="46" spans="16:144" x14ac:dyDescent="0.3">
      <c r="P46" s="4"/>
      <c r="Q46" s="4"/>
      <c r="R46" s="4"/>
      <c r="S46" s="4"/>
      <c r="DX46" s="58"/>
      <c r="DY46" s="58"/>
      <c r="DZ46" s="58"/>
      <c r="EA46" s="58"/>
      <c r="EB46" s="58"/>
      <c r="EC46" s="58"/>
      <c r="ED46" s="58"/>
      <c r="EE46" s="58"/>
      <c r="EF46" s="58"/>
      <c r="EG46" s="58"/>
      <c r="EH46" s="58"/>
      <c r="EI46" s="58"/>
      <c r="EJ46" s="58"/>
      <c r="EK46" s="58"/>
      <c r="EL46" s="58"/>
      <c r="EM46" s="58"/>
      <c r="EN46" s="58"/>
    </row>
    <row r="47" spans="16:144" x14ac:dyDescent="0.3">
      <c r="P47" s="4"/>
      <c r="Q47" s="4"/>
      <c r="R47" s="4"/>
      <c r="S47" s="4"/>
      <c r="DX47" s="58"/>
      <c r="DY47" s="58"/>
      <c r="DZ47" s="58"/>
      <c r="EA47" s="58"/>
      <c r="EB47" s="58"/>
      <c r="EC47" s="58"/>
      <c r="ED47" s="58"/>
      <c r="EE47" s="58"/>
      <c r="EF47" s="58"/>
      <c r="EG47" s="58"/>
      <c r="EH47" s="58"/>
      <c r="EI47" s="58"/>
      <c r="EJ47" s="58"/>
      <c r="EK47" s="58"/>
      <c r="EL47" s="58"/>
      <c r="EM47" s="58"/>
      <c r="EN47" s="58"/>
    </row>
    <row r="48" spans="16:144" x14ac:dyDescent="0.3">
      <c r="P48" s="4"/>
      <c r="Q48" s="4"/>
      <c r="R48" s="4"/>
      <c r="S48" s="4"/>
      <c r="DX48" s="58"/>
      <c r="DY48" s="58"/>
      <c r="DZ48" s="58"/>
      <c r="EA48" s="58"/>
      <c r="EB48" s="58"/>
      <c r="EC48" s="58"/>
      <c r="ED48" s="58"/>
      <c r="EE48" s="58"/>
      <c r="EF48" s="58"/>
      <c r="EG48" s="58"/>
      <c r="EH48" s="58"/>
      <c r="EI48" s="58"/>
      <c r="EJ48" s="58"/>
      <c r="EK48" s="58"/>
      <c r="EL48" s="58"/>
      <c r="EM48" s="58"/>
      <c r="EN48" s="58"/>
    </row>
    <row r="49" spans="1:144" x14ac:dyDescent="0.3">
      <c r="A49" s="4"/>
      <c r="B49" s="5"/>
      <c r="C49" s="5"/>
      <c r="D49" s="6"/>
      <c r="E49" s="4"/>
      <c r="F49" s="4"/>
      <c r="G49" s="4"/>
      <c r="H49" s="4"/>
      <c r="I49" s="4"/>
      <c r="J49" s="4"/>
      <c r="K49" s="4"/>
      <c r="L49" s="4"/>
      <c r="M49" s="4"/>
      <c r="N49" s="4"/>
      <c r="O49" s="4"/>
      <c r="P49" s="4"/>
      <c r="Q49" s="4"/>
      <c r="R49" s="4"/>
      <c r="S49" s="4"/>
      <c r="DX49" s="58"/>
      <c r="DY49" s="58"/>
      <c r="DZ49" s="58"/>
      <c r="EA49" s="58"/>
      <c r="EB49" s="58"/>
      <c r="EC49" s="58"/>
      <c r="ED49" s="58"/>
      <c r="EE49" s="58"/>
      <c r="EF49" s="58"/>
      <c r="EG49" s="58"/>
      <c r="EH49" s="58"/>
      <c r="EI49" s="58"/>
      <c r="EJ49" s="58"/>
      <c r="EK49" s="58"/>
      <c r="EL49" s="58"/>
      <c r="EM49" s="58"/>
      <c r="EN49" s="58"/>
    </row>
    <row r="50" spans="1:144" x14ac:dyDescent="0.3">
      <c r="A50" s="4"/>
      <c r="B50" s="5"/>
      <c r="C50" s="5"/>
      <c r="D50" s="6"/>
      <c r="E50" s="4"/>
      <c r="F50" s="123"/>
      <c r="G50" s="123"/>
      <c r="H50" s="123"/>
      <c r="I50" s="123"/>
      <c r="J50" s="123"/>
      <c r="K50" s="123"/>
      <c r="L50" s="123"/>
      <c r="M50" s="123"/>
      <c r="N50" s="123"/>
      <c r="O50" s="4"/>
      <c r="P50" s="4"/>
      <c r="Q50" s="4"/>
      <c r="R50" s="4"/>
      <c r="S50" s="4"/>
      <c r="DX50" s="58"/>
      <c r="DY50" s="58"/>
      <c r="DZ50" s="58"/>
      <c r="EA50" s="58"/>
      <c r="EB50" s="58"/>
      <c r="EC50" s="58"/>
      <c r="ED50" s="58"/>
      <c r="EE50" s="58"/>
      <c r="EF50" s="58"/>
      <c r="EG50" s="58"/>
      <c r="EH50" s="58"/>
      <c r="EI50" s="58"/>
      <c r="EJ50" s="58"/>
      <c r="EK50" s="58"/>
      <c r="EL50" s="58"/>
      <c r="EM50" s="58"/>
      <c r="EN50" s="58"/>
    </row>
    <row r="51" spans="1:144" x14ac:dyDescent="0.3">
      <c r="A51" s="4"/>
      <c r="B51" s="5"/>
      <c r="C51" s="5"/>
      <c r="D51" s="6"/>
      <c r="E51" s="4"/>
      <c r="F51" s="123"/>
      <c r="G51" s="123"/>
      <c r="H51" s="123"/>
      <c r="I51" s="123"/>
      <c r="J51" s="123"/>
      <c r="K51" s="123"/>
      <c r="L51" s="123"/>
      <c r="M51" s="123"/>
      <c r="N51" s="123"/>
      <c r="O51" s="4"/>
      <c r="P51" s="4"/>
      <c r="Q51" s="4"/>
      <c r="R51" s="4"/>
      <c r="S51" s="4"/>
      <c r="DX51" s="58"/>
      <c r="DY51" s="58"/>
      <c r="DZ51" s="58"/>
      <c r="EA51" s="58"/>
      <c r="EB51" s="58"/>
      <c r="EC51" s="58"/>
      <c r="ED51" s="58"/>
      <c r="EE51" s="58"/>
      <c r="EF51" s="58"/>
      <c r="EG51" s="58"/>
      <c r="EH51" s="58"/>
      <c r="EI51" s="58"/>
      <c r="EJ51" s="58"/>
      <c r="EK51" s="58"/>
      <c r="EL51" s="58"/>
      <c r="EM51" s="58"/>
      <c r="EN51" s="58"/>
    </row>
    <row r="52" spans="1:144" x14ac:dyDescent="0.3">
      <c r="A52" s="4"/>
      <c r="B52" s="5"/>
      <c r="C52" s="5"/>
      <c r="D52" s="6"/>
      <c r="E52" s="4"/>
      <c r="F52" s="123"/>
      <c r="G52" s="123"/>
      <c r="H52" s="123"/>
      <c r="I52" s="123"/>
      <c r="J52" s="123"/>
      <c r="K52" s="123"/>
      <c r="L52" s="123"/>
      <c r="M52" s="123"/>
      <c r="N52" s="123"/>
      <c r="O52" s="4"/>
      <c r="P52" s="4"/>
      <c r="Q52" s="4"/>
      <c r="R52" s="4"/>
      <c r="S52" s="4"/>
      <c r="DX52" s="58"/>
      <c r="DY52" s="58"/>
      <c r="DZ52" s="58"/>
      <c r="EA52" s="58"/>
      <c r="EB52" s="58"/>
      <c r="EC52" s="58"/>
      <c r="ED52" s="58"/>
      <c r="EE52" s="58"/>
      <c r="EF52" s="58"/>
      <c r="EG52" s="58"/>
      <c r="EH52" s="58"/>
      <c r="EI52" s="58"/>
      <c r="EJ52" s="58"/>
      <c r="EK52" s="58"/>
      <c r="EL52" s="58"/>
      <c r="EM52" s="58"/>
      <c r="EN52" s="58"/>
    </row>
    <row r="53" spans="1:144" x14ac:dyDescent="0.3">
      <c r="A53" s="4"/>
      <c r="B53" s="5"/>
      <c r="C53" s="5"/>
      <c r="D53" s="6"/>
      <c r="E53" s="4"/>
      <c r="F53" s="4"/>
      <c r="G53" s="4"/>
      <c r="H53" s="4"/>
      <c r="I53" s="4"/>
      <c r="J53" s="4"/>
      <c r="K53" s="4"/>
      <c r="L53" s="4"/>
      <c r="M53" s="4"/>
      <c r="N53" s="4"/>
      <c r="O53" s="4"/>
      <c r="P53" s="4"/>
      <c r="Q53" s="4"/>
      <c r="R53" s="4"/>
      <c r="S53" s="4"/>
    </row>
  </sheetData>
  <sheetProtection sheet="1" objects="1" scenarios="1" selectLockedCells="1"/>
  <mergeCells count="52">
    <mergeCell ref="T3:W3"/>
    <mergeCell ref="BD3:BF3"/>
    <mergeCell ref="CN3:CQ3"/>
    <mergeCell ref="DF3:DI3"/>
    <mergeCell ref="DX3:EH3"/>
    <mergeCell ref="EK4:EN4"/>
    <mergeCell ref="F5:N7"/>
    <mergeCell ref="X5:AF7"/>
    <mergeCell ref="AP5:AX7"/>
    <mergeCell ref="BH5:BP7"/>
    <mergeCell ref="BZ5:CH7"/>
    <mergeCell ref="CR5:CZ7"/>
    <mergeCell ref="DJ5:DR7"/>
    <mergeCell ref="DX4:DY4"/>
    <mergeCell ref="DZ4:EH4"/>
    <mergeCell ref="AT9:AW9"/>
    <mergeCell ref="F11:G11"/>
    <mergeCell ref="J11:M11"/>
    <mergeCell ref="X11:Y11"/>
    <mergeCell ref="AB11:AE11"/>
    <mergeCell ref="AP11:AQ11"/>
    <mergeCell ref="AT11:AW11"/>
    <mergeCell ref="DJ11:DK11"/>
    <mergeCell ref="DN11:DQ11"/>
    <mergeCell ref="J13:M13"/>
    <mergeCell ref="AB13:AE13"/>
    <mergeCell ref="AT13:AW13"/>
    <mergeCell ref="BL13:BO13"/>
    <mergeCell ref="CD13:CG13"/>
    <mergeCell ref="CV13:CY13"/>
    <mergeCell ref="DN13:DQ13"/>
    <mergeCell ref="BH11:BI11"/>
    <mergeCell ref="BL11:BO11"/>
    <mergeCell ref="BZ11:CA11"/>
    <mergeCell ref="CD11:CG11"/>
    <mergeCell ref="CR11:CS11"/>
    <mergeCell ref="CV11:CY11"/>
    <mergeCell ref="F23:N25"/>
    <mergeCell ref="F50:N52"/>
    <mergeCell ref="DN15:DQ15"/>
    <mergeCell ref="J17:M17"/>
    <mergeCell ref="AB17:AE17"/>
    <mergeCell ref="AT17:AW17"/>
    <mergeCell ref="BL17:BO17"/>
    <mergeCell ref="CD17:CG17"/>
    <mergeCell ref="CV17:CY17"/>
    <mergeCell ref="J15:M15"/>
    <mergeCell ref="AB15:AE15"/>
    <mergeCell ref="AT15:AW15"/>
    <mergeCell ref="BL15:BO15"/>
    <mergeCell ref="CD15:CG15"/>
    <mergeCell ref="CV15:CY15"/>
  </mergeCells>
  <conditionalFormatting sqref="EM5:EM21">
    <cfRule type="top10" dxfId="29" priority="1" rank="3"/>
  </conditionalFormatting>
  <printOptions verticalCentered="1"/>
  <pageMargins left="0.74803149606299213" right="0.74803149606299213" top="1.1811023622047245" bottom="0.98425196850393704" header="0.51181102362204722" footer="0.51181102362204722"/>
  <pageSetup paperSize="9" scale="10" orientation="portrait" horizontalDpi="4294967294" verticalDpi="0" r:id="rId1"/>
  <headerFooter alignWithMargins="0">
    <oddHeader>&amp;C&amp;24&amp;K03+000
Results Belbintest&amp;R&amp;G</oddHeader>
    <oddFooter>&amp;R&amp;K03+000Printing date &amp;D</oddFooter>
  </headerFooter>
  <colBreaks count="13" manualBreakCount="13">
    <brk id="5" max="1048575" man="1"/>
    <brk id="18" max="1048575" man="1"/>
    <brk id="23" max="1048575" man="1"/>
    <brk id="41" max="1048575" man="1"/>
    <brk id="54" max="1048575" man="1"/>
    <brk id="59" max="1048575" man="1"/>
    <brk id="77" max="1048575" man="1"/>
    <brk id="90" max="1048575" man="1"/>
    <brk id="95" max="1048575" man="1"/>
    <brk id="108" max="1048575" man="1"/>
    <brk id="113" max="1048575" man="1"/>
    <brk id="126" max="1048575" man="1"/>
    <brk id="144" max="1048575" man="1"/>
  </colBreaks>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22">
    <pageSetUpPr fitToPage="1"/>
  </sheetPr>
  <dimension ref="A1:GL53"/>
  <sheetViews>
    <sheetView topLeftCell="CZ1" zoomScale="85" zoomScaleNormal="85" workbookViewId="0">
      <selection activeCell="DH21" sqref="DH21"/>
    </sheetView>
  </sheetViews>
  <sheetFormatPr defaultColWidth="9.109375" defaultRowHeight="17.399999999999999" x14ac:dyDescent="0.25"/>
  <cols>
    <col min="1" max="1" width="8.6640625" style="3" customWidth="1"/>
    <col min="2" max="2" width="59.33203125" style="1" bestFit="1" customWidth="1"/>
    <col min="3" max="3" width="2.33203125" style="1" customWidth="1"/>
    <col min="4" max="4" width="9.109375" style="2"/>
    <col min="5" max="18" width="9.109375" style="3"/>
    <col min="19" max="19" width="8.6640625" style="3" customWidth="1"/>
    <col min="20" max="20" width="59.33203125" style="3" customWidth="1"/>
    <col min="21" max="21" width="2.33203125" style="3" customWidth="1"/>
    <col min="22" max="35" width="9.109375" style="3"/>
    <col min="36" max="36" width="9.109375" style="3" customWidth="1"/>
    <col min="37" max="37" width="8.6640625" style="3" customWidth="1"/>
    <col min="38" max="38" width="59.33203125" style="3" customWidth="1"/>
    <col min="39" max="39" width="2.33203125" style="3" customWidth="1"/>
    <col min="40" max="53" width="9.109375" style="3"/>
    <col min="54" max="54" width="9.109375" style="3" customWidth="1"/>
    <col min="55" max="55" width="8.6640625" style="3" customWidth="1"/>
    <col min="56" max="56" width="59.33203125" style="3" customWidth="1"/>
    <col min="57" max="57" width="2.33203125" style="3" customWidth="1"/>
    <col min="58" max="71" width="9.109375" style="3"/>
    <col min="72" max="72" width="9.109375" style="3" customWidth="1"/>
    <col min="73" max="73" width="8.6640625" style="3" customWidth="1"/>
    <col min="74" max="74" width="59.33203125" style="3" customWidth="1"/>
    <col min="75" max="75" width="2.33203125" style="3" customWidth="1"/>
    <col min="76" max="89" width="9.109375" style="3"/>
    <col min="90" max="90" width="9.109375" style="3" customWidth="1"/>
    <col min="91" max="91" width="8.6640625" style="3" customWidth="1"/>
    <col min="92" max="92" width="59.33203125" style="3" customWidth="1"/>
    <col min="93" max="93" width="2.33203125" style="3" customWidth="1"/>
    <col min="94" max="107" width="9.109375" style="3"/>
    <col min="108" max="108" width="9.109375" style="3" customWidth="1"/>
    <col min="109" max="109" width="8.6640625" style="3" customWidth="1"/>
    <col min="110" max="110" width="59.33203125" style="3" customWidth="1"/>
    <col min="111" max="111" width="2.33203125" style="3" customWidth="1"/>
    <col min="112" max="127" width="9.109375" style="3"/>
    <col min="128" max="128" width="9.109375" style="3" customWidth="1"/>
    <col min="129" max="129" width="3.33203125" style="3" customWidth="1"/>
    <col min="130" max="138" width="4.77734375" style="3" customWidth="1"/>
    <col min="139" max="141" width="9.109375" style="3"/>
    <col min="142" max="142" width="14.6640625" style="3" customWidth="1"/>
    <col min="143" max="143" width="9.109375" style="3"/>
    <col min="144" max="144" width="6.6640625" style="3" customWidth="1"/>
    <col min="145" max="150" width="9.109375" style="3"/>
    <col min="151" max="151" width="2.33203125" style="3" customWidth="1"/>
    <col min="152" max="152" width="2.88671875" style="3" customWidth="1"/>
    <col min="153" max="257" width="9.109375" style="3"/>
    <col min="258" max="258" width="3" style="3" customWidth="1"/>
    <col min="259" max="259" width="59.33203125" style="3" bestFit="1" customWidth="1"/>
    <col min="260" max="260" width="2.33203125" style="3" customWidth="1"/>
    <col min="261" max="513" width="9.109375" style="3"/>
    <col min="514" max="514" width="3" style="3" customWidth="1"/>
    <col min="515" max="515" width="59.33203125" style="3" bestFit="1" customWidth="1"/>
    <col min="516" max="516" width="2.33203125" style="3" customWidth="1"/>
    <col min="517" max="769" width="9.109375" style="3"/>
    <col min="770" max="770" width="3" style="3" customWidth="1"/>
    <col min="771" max="771" width="59.33203125" style="3" bestFit="1" customWidth="1"/>
    <col min="772" max="772" width="2.33203125" style="3" customWidth="1"/>
    <col min="773" max="1025" width="9.109375" style="3"/>
    <col min="1026" max="1026" width="3" style="3" customWidth="1"/>
    <col min="1027" max="1027" width="59.33203125" style="3" bestFit="1" customWidth="1"/>
    <col min="1028" max="1028" width="2.33203125" style="3" customWidth="1"/>
    <col min="1029" max="1281" width="9.109375" style="3"/>
    <col min="1282" max="1282" width="3" style="3" customWidth="1"/>
    <col min="1283" max="1283" width="59.33203125" style="3" bestFit="1" customWidth="1"/>
    <col min="1284" max="1284" width="2.33203125" style="3" customWidth="1"/>
    <col min="1285" max="1537" width="9.109375" style="3"/>
    <col min="1538" max="1538" width="3" style="3" customWidth="1"/>
    <col min="1539" max="1539" width="59.33203125" style="3" bestFit="1" customWidth="1"/>
    <col min="1540" max="1540" width="2.33203125" style="3" customWidth="1"/>
    <col min="1541" max="1793" width="9.109375" style="3"/>
    <col min="1794" max="1794" width="3" style="3" customWidth="1"/>
    <col min="1795" max="1795" width="59.33203125" style="3" bestFit="1" customWidth="1"/>
    <col min="1796" max="1796" width="2.33203125" style="3" customWidth="1"/>
    <col min="1797" max="2049" width="9.109375" style="3"/>
    <col min="2050" max="2050" width="3" style="3" customWidth="1"/>
    <col min="2051" max="2051" width="59.33203125" style="3" bestFit="1" customWidth="1"/>
    <col min="2052" max="2052" width="2.33203125" style="3" customWidth="1"/>
    <col min="2053" max="2305" width="9.109375" style="3"/>
    <col min="2306" max="2306" width="3" style="3" customWidth="1"/>
    <col min="2307" max="2307" width="59.33203125" style="3" bestFit="1" customWidth="1"/>
    <col min="2308" max="2308" width="2.33203125" style="3" customWidth="1"/>
    <col min="2309" max="2561" width="9.109375" style="3"/>
    <col min="2562" max="2562" width="3" style="3" customWidth="1"/>
    <col min="2563" max="2563" width="59.33203125" style="3" bestFit="1" customWidth="1"/>
    <col min="2564" max="2564" width="2.33203125" style="3" customWidth="1"/>
    <col min="2565" max="2817" width="9.109375" style="3"/>
    <col min="2818" max="2818" width="3" style="3" customWidth="1"/>
    <col min="2819" max="2819" width="59.33203125" style="3" bestFit="1" customWidth="1"/>
    <col min="2820" max="2820" width="2.33203125" style="3" customWidth="1"/>
    <col min="2821" max="3073" width="9.109375" style="3"/>
    <col min="3074" max="3074" width="3" style="3" customWidth="1"/>
    <col min="3075" max="3075" width="59.33203125" style="3" bestFit="1" customWidth="1"/>
    <col min="3076" max="3076" width="2.33203125" style="3" customWidth="1"/>
    <col min="3077" max="3329" width="9.109375" style="3"/>
    <col min="3330" max="3330" width="3" style="3" customWidth="1"/>
    <col min="3331" max="3331" width="59.33203125" style="3" bestFit="1" customWidth="1"/>
    <col min="3332" max="3332" width="2.33203125" style="3" customWidth="1"/>
    <col min="3333" max="3585" width="9.109375" style="3"/>
    <col min="3586" max="3586" width="3" style="3" customWidth="1"/>
    <col min="3587" max="3587" width="59.33203125" style="3" bestFit="1" customWidth="1"/>
    <col min="3588" max="3588" width="2.33203125" style="3" customWidth="1"/>
    <col min="3589" max="3841" width="9.109375" style="3"/>
    <col min="3842" max="3842" width="3" style="3" customWidth="1"/>
    <col min="3843" max="3843" width="59.33203125" style="3" bestFit="1" customWidth="1"/>
    <col min="3844" max="3844" width="2.33203125" style="3" customWidth="1"/>
    <col min="3845" max="4097" width="9.109375" style="3"/>
    <col min="4098" max="4098" width="3" style="3" customWidth="1"/>
    <col min="4099" max="4099" width="59.33203125" style="3" bestFit="1" customWidth="1"/>
    <col min="4100" max="4100" width="2.33203125" style="3" customWidth="1"/>
    <col min="4101" max="4353" width="9.109375" style="3"/>
    <col min="4354" max="4354" width="3" style="3" customWidth="1"/>
    <col min="4355" max="4355" width="59.33203125" style="3" bestFit="1" customWidth="1"/>
    <col min="4356" max="4356" width="2.33203125" style="3" customWidth="1"/>
    <col min="4357" max="4609" width="9.109375" style="3"/>
    <col min="4610" max="4610" width="3" style="3" customWidth="1"/>
    <col min="4611" max="4611" width="59.33203125" style="3" bestFit="1" customWidth="1"/>
    <col min="4612" max="4612" width="2.33203125" style="3" customWidth="1"/>
    <col min="4613" max="4865" width="9.109375" style="3"/>
    <col min="4866" max="4866" width="3" style="3" customWidth="1"/>
    <col min="4867" max="4867" width="59.33203125" style="3" bestFit="1" customWidth="1"/>
    <col min="4868" max="4868" width="2.33203125" style="3" customWidth="1"/>
    <col min="4869" max="5121" width="9.109375" style="3"/>
    <col min="5122" max="5122" width="3" style="3" customWidth="1"/>
    <col min="5123" max="5123" width="59.33203125" style="3" bestFit="1" customWidth="1"/>
    <col min="5124" max="5124" width="2.33203125" style="3" customWidth="1"/>
    <col min="5125" max="5377" width="9.109375" style="3"/>
    <col min="5378" max="5378" width="3" style="3" customWidth="1"/>
    <col min="5379" max="5379" width="59.33203125" style="3" bestFit="1" customWidth="1"/>
    <col min="5380" max="5380" width="2.33203125" style="3" customWidth="1"/>
    <col min="5381" max="5633" width="9.109375" style="3"/>
    <col min="5634" max="5634" width="3" style="3" customWidth="1"/>
    <col min="5635" max="5635" width="59.33203125" style="3" bestFit="1" customWidth="1"/>
    <col min="5636" max="5636" width="2.33203125" style="3" customWidth="1"/>
    <col min="5637" max="5889" width="9.109375" style="3"/>
    <col min="5890" max="5890" width="3" style="3" customWidth="1"/>
    <col min="5891" max="5891" width="59.33203125" style="3" bestFit="1" customWidth="1"/>
    <col min="5892" max="5892" width="2.33203125" style="3" customWidth="1"/>
    <col min="5893" max="6145" width="9.109375" style="3"/>
    <col min="6146" max="6146" width="3" style="3" customWidth="1"/>
    <col min="6147" max="6147" width="59.33203125" style="3" bestFit="1" customWidth="1"/>
    <col min="6148" max="6148" width="2.33203125" style="3" customWidth="1"/>
    <col min="6149" max="6401" width="9.109375" style="3"/>
    <col min="6402" max="6402" width="3" style="3" customWidth="1"/>
    <col min="6403" max="6403" width="59.33203125" style="3" bestFit="1" customWidth="1"/>
    <col min="6404" max="6404" width="2.33203125" style="3" customWidth="1"/>
    <col min="6405" max="6657" width="9.109375" style="3"/>
    <col min="6658" max="6658" width="3" style="3" customWidth="1"/>
    <col min="6659" max="6659" width="59.33203125" style="3" bestFit="1" customWidth="1"/>
    <col min="6660" max="6660" width="2.33203125" style="3" customWidth="1"/>
    <col min="6661" max="6913" width="9.109375" style="3"/>
    <col min="6914" max="6914" width="3" style="3" customWidth="1"/>
    <col min="6915" max="6915" width="59.33203125" style="3" bestFit="1" customWidth="1"/>
    <col min="6916" max="6916" width="2.33203125" style="3" customWidth="1"/>
    <col min="6917" max="7169" width="9.109375" style="3"/>
    <col min="7170" max="7170" width="3" style="3" customWidth="1"/>
    <col min="7171" max="7171" width="59.33203125" style="3" bestFit="1" customWidth="1"/>
    <col min="7172" max="7172" width="2.33203125" style="3" customWidth="1"/>
    <col min="7173" max="7425" width="9.109375" style="3"/>
    <col min="7426" max="7426" width="3" style="3" customWidth="1"/>
    <col min="7427" max="7427" width="59.33203125" style="3" bestFit="1" customWidth="1"/>
    <col min="7428" max="7428" width="2.33203125" style="3" customWidth="1"/>
    <col min="7429" max="7681" width="9.109375" style="3"/>
    <col min="7682" max="7682" width="3" style="3" customWidth="1"/>
    <col min="7683" max="7683" width="59.33203125" style="3" bestFit="1" customWidth="1"/>
    <col min="7684" max="7684" width="2.33203125" style="3" customWidth="1"/>
    <col min="7685" max="7937" width="9.109375" style="3"/>
    <col min="7938" max="7938" width="3" style="3" customWidth="1"/>
    <col min="7939" max="7939" width="59.33203125" style="3" bestFit="1" customWidth="1"/>
    <col min="7940" max="7940" width="2.33203125" style="3" customWidth="1"/>
    <col min="7941" max="8193" width="9.109375" style="3"/>
    <col min="8194" max="8194" width="3" style="3" customWidth="1"/>
    <col min="8195" max="8195" width="59.33203125" style="3" bestFit="1" customWidth="1"/>
    <col min="8196" max="8196" width="2.33203125" style="3" customWidth="1"/>
    <col min="8197" max="8449" width="9.109375" style="3"/>
    <col min="8450" max="8450" width="3" style="3" customWidth="1"/>
    <col min="8451" max="8451" width="59.33203125" style="3" bestFit="1" customWidth="1"/>
    <col min="8452" max="8452" width="2.33203125" style="3" customWidth="1"/>
    <col min="8453" max="8705" width="9.109375" style="3"/>
    <col min="8706" max="8706" width="3" style="3" customWidth="1"/>
    <col min="8707" max="8707" width="59.33203125" style="3" bestFit="1" customWidth="1"/>
    <col min="8708" max="8708" width="2.33203125" style="3" customWidth="1"/>
    <col min="8709" max="8961" width="9.109375" style="3"/>
    <col min="8962" max="8962" width="3" style="3" customWidth="1"/>
    <col min="8963" max="8963" width="59.33203125" style="3" bestFit="1" customWidth="1"/>
    <col min="8964" max="8964" width="2.33203125" style="3" customWidth="1"/>
    <col min="8965" max="9217" width="9.109375" style="3"/>
    <col min="9218" max="9218" width="3" style="3" customWidth="1"/>
    <col min="9219" max="9219" width="59.33203125" style="3" bestFit="1" customWidth="1"/>
    <col min="9220" max="9220" width="2.33203125" style="3" customWidth="1"/>
    <col min="9221" max="9473" width="9.109375" style="3"/>
    <col min="9474" max="9474" width="3" style="3" customWidth="1"/>
    <col min="9475" max="9475" width="59.33203125" style="3" bestFit="1" customWidth="1"/>
    <col min="9476" max="9476" width="2.33203125" style="3" customWidth="1"/>
    <col min="9477" max="9729" width="9.109375" style="3"/>
    <col min="9730" max="9730" width="3" style="3" customWidth="1"/>
    <col min="9731" max="9731" width="59.33203125" style="3" bestFit="1" customWidth="1"/>
    <col min="9732" max="9732" width="2.33203125" style="3" customWidth="1"/>
    <col min="9733" max="9985" width="9.109375" style="3"/>
    <col min="9986" max="9986" width="3" style="3" customWidth="1"/>
    <col min="9987" max="9987" width="59.33203125" style="3" bestFit="1" customWidth="1"/>
    <col min="9988" max="9988" width="2.33203125" style="3" customWidth="1"/>
    <col min="9989" max="10241" width="9.109375" style="3"/>
    <col min="10242" max="10242" width="3" style="3" customWidth="1"/>
    <col min="10243" max="10243" width="59.33203125" style="3" bestFit="1" customWidth="1"/>
    <col min="10244" max="10244" width="2.33203125" style="3" customWidth="1"/>
    <col min="10245" max="10497" width="9.109375" style="3"/>
    <col min="10498" max="10498" width="3" style="3" customWidth="1"/>
    <col min="10499" max="10499" width="59.33203125" style="3" bestFit="1" customWidth="1"/>
    <col min="10500" max="10500" width="2.33203125" style="3" customWidth="1"/>
    <col min="10501" max="10753" width="9.109375" style="3"/>
    <col min="10754" max="10754" width="3" style="3" customWidth="1"/>
    <col min="10755" max="10755" width="59.33203125" style="3" bestFit="1" customWidth="1"/>
    <col min="10756" max="10756" width="2.33203125" style="3" customWidth="1"/>
    <col min="10757" max="11009" width="9.109375" style="3"/>
    <col min="11010" max="11010" width="3" style="3" customWidth="1"/>
    <col min="11011" max="11011" width="59.33203125" style="3" bestFit="1" customWidth="1"/>
    <col min="11012" max="11012" width="2.33203125" style="3" customWidth="1"/>
    <col min="11013" max="11265" width="9.109375" style="3"/>
    <col min="11266" max="11266" width="3" style="3" customWidth="1"/>
    <col min="11267" max="11267" width="59.33203125" style="3" bestFit="1" customWidth="1"/>
    <col min="11268" max="11268" width="2.33203125" style="3" customWidth="1"/>
    <col min="11269" max="11521" width="9.109375" style="3"/>
    <col min="11522" max="11522" width="3" style="3" customWidth="1"/>
    <col min="11523" max="11523" width="59.33203125" style="3" bestFit="1" customWidth="1"/>
    <col min="11524" max="11524" width="2.33203125" style="3" customWidth="1"/>
    <col min="11525" max="11777" width="9.109375" style="3"/>
    <col min="11778" max="11778" width="3" style="3" customWidth="1"/>
    <col min="11779" max="11779" width="59.33203125" style="3" bestFit="1" customWidth="1"/>
    <col min="11780" max="11780" width="2.33203125" style="3" customWidth="1"/>
    <col min="11781" max="12033" width="9.109375" style="3"/>
    <col min="12034" max="12034" width="3" style="3" customWidth="1"/>
    <col min="12035" max="12035" width="59.33203125" style="3" bestFit="1" customWidth="1"/>
    <col min="12036" max="12036" width="2.33203125" style="3" customWidth="1"/>
    <col min="12037" max="12289" width="9.109375" style="3"/>
    <col min="12290" max="12290" width="3" style="3" customWidth="1"/>
    <col min="12291" max="12291" width="59.33203125" style="3" bestFit="1" customWidth="1"/>
    <col min="12292" max="12292" width="2.33203125" style="3" customWidth="1"/>
    <col min="12293" max="12545" width="9.109375" style="3"/>
    <col min="12546" max="12546" width="3" style="3" customWidth="1"/>
    <col min="12547" max="12547" width="59.33203125" style="3" bestFit="1" customWidth="1"/>
    <col min="12548" max="12548" width="2.33203125" style="3" customWidth="1"/>
    <col min="12549" max="12801" width="9.109375" style="3"/>
    <col min="12802" max="12802" width="3" style="3" customWidth="1"/>
    <col min="12803" max="12803" width="59.33203125" style="3" bestFit="1" customWidth="1"/>
    <col min="12804" max="12804" width="2.33203125" style="3" customWidth="1"/>
    <col min="12805" max="13057" width="9.109375" style="3"/>
    <col min="13058" max="13058" width="3" style="3" customWidth="1"/>
    <col min="13059" max="13059" width="59.33203125" style="3" bestFit="1" customWidth="1"/>
    <col min="13060" max="13060" width="2.33203125" style="3" customWidth="1"/>
    <col min="13061" max="13313" width="9.109375" style="3"/>
    <col min="13314" max="13314" width="3" style="3" customWidth="1"/>
    <col min="13315" max="13315" width="59.33203125" style="3" bestFit="1" customWidth="1"/>
    <col min="13316" max="13316" width="2.33203125" style="3" customWidth="1"/>
    <col min="13317" max="13569" width="9.109375" style="3"/>
    <col min="13570" max="13570" width="3" style="3" customWidth="1"/>
    <col min="13571" max="13571" width="59.33203125" style="3" bestFit="1" customWidth="1"/>
    <col min="13572" max="13572" width="2.33203125" style="3" customWidth="1"/>
    <col min="13573" max="13825" width="9.109375" style="3"/>
    <col min="13826" max="13826" width="3" style="3" customWidth="1"/>
    <col min="13827" max="13827" width="59.33203125" style="3" bestFit="1" customWidth="1"/>
    <col min="13828" max="13828" width="2.33203125" style="3" customWidth="1"/>
    <col min="13829" max="14081" width="9.109375" style="3"/>
    <col min="14082" max="14082" width="3" style="3" customWidth="1"/>
    <col min="14083" max="14083" width="59.33203125" style="3" bestFit="1" customWidth="1"/>
    <col min="14084" max="14084" width="2.33203125" style="3" customWidth="1"/>
    <col min="14085" max="14337" width="9.109375" style="3"/>
    <col min="14338" max="14338" width="3" style="3" customWidth="1"/>
    <col min="14339" max="14339" width="59.33203125" style="3" bestFit="1" customWidth="1"/>
    <col min="14340" max="14340" width="2.33203125" style="3" customWidth="1"/>
    <col min="14341" max="14593" width="9.109375" style="3"/>
    <col min="14594" max="14594" width="3" style="3" customWidth="1"/>
    <col min="14595" max="14595" width="59.33203125" style="3" bestFit="1" customWidth="1"/>
    <col min="14596" max="14596" width="2.33203125" style="3" customWidth="1"/>
    <col min="14597" max="14849" width="9.109375" style="3"/>
    <col min="14850" max="14850" width="3" style="3" customWidth="1"/>
    <col min="14851" max="14851" width="59.33203125" style="3" bestFit="1" customWidth="1"/>
    <col min="14852" max="14852" width="2.33203125" style="3" customWidth="1"/>
    <col min="14853" max="15105" width="9.109375" style="3"/>
    <col min="15106" max="15106" width="3" style="3" customWidth="1"/>
    <col min="15107" max="15107" width="59.33203125" style="3" bestFit="1" customWidth="1"/>
    <col min="15108" max="15108" width="2.33203125" style="3" customWidth="1"/>
    <col min="15109" max="15361" width="9.109375" style="3"/>
    <col min="15362" max="15362" width="3" style="3" customWidth="1"/>
    <col min="15363" max="15363" width="59.33203125" style="3" bestFit="1" customWidth="1"/>
    <col min="15364" max="15364" width="2.33203125" style="3" customWidth="1"/>
    <col min="15365" max="15617" width="9.109375" style="3"/>
    <col min="15618" max="15618" width="3" style="3" customWidth="1"/>
    <col min="15619" max="15619" width="59.33203125" style="3" bestFit="1" customWidth="1"/>
    <col min="15620" max="15620" width="2.33203125" style="3" customWidth="1"/>
    <col min="15621" max="15873" width="9.109375" style="3"/>
    <col min="15874" max="15874" width="3" style="3" customWidth="1"/>
    <col min="15875" max="15875" width="59.33203125" style="3" bestFit="1" customWidth="1"/>
    <col min="15876" max="15876" width="2.33203125" style="3" customWidth="1"/>
    <col min="15877" max="16129" width="9.109375" style="3"/>
    <col min="16130" max="16130" width="3" style="3" customWidth="1"/>
    <col min="16131" max="16131" width="59.33203125" style="3" bestFit="1" customWidth="1"/>
    <col min="16132" max="16132" width="2.33203125" style="3" customWidth="1"/>
    <col min="16133" max="16384" width="9.109375" style="3"/>
  </cols>
  <sheetData>
    <row r="1" spans="1:194" x14ac:dyDescent="0.3">
      <c r="T1" s="1"/>
      <c r="U1" s="1"/>
      <c r="V1" s="2"/>
      <c r="AJ1" s="4"/>
      <c r="AK1" s="4"/>
      <c r="AL1" s="5"/>
      <c r="AM1" s="5"/>
      <c r="AN1" s="6"/>
      <c r="AO1" s="4"/>
      <c r="AP1" s="4"/>
      <c r="AQ1" s="4"/>
      <c r="AR1" s="4"/>
      <c r="AS1" s="4"/>
      <c r="AT1" s="4"/>
      <c r="AU1" s="4"/>
      <c r="AV1" s="4"/>
      <c r="AW1" s="4"/>
      <c r="AX1" s="4"/>
      <c r="AY1" s="4"/>
      <c r="BB1" s="4"/>
      <c r="BC1" s="4"/>
      <c r="BD1" s="5"/>
      <c r="BE1" s="5"/>
      <c r="BF1" s="6"/>
      <c r="BG1" s="4"/>
      <c r="BH1" s="4"/>
      <c r="BI1" s="4"/>
      <c r="BJ1" s="4"/>
      <c r="BK1" s="4"/>
      <c r="BL1" s="4"/>
      <c r="BM1" s="4"/>
      <c r="BN1" s="4"/>
      <c r="BO1" s="4"/>
      <c r="BP1" s="4"/>
      <c r="BQ1" s="4"/>
      <c r="BT1" s="4"/>
      <c r="BU1" s="4"/>
      <c r="BV1" s="5"/>
      <c r="BW1" s="5"/>
      <c r="BX1" s="6"/>
      <c r="BY1" s="4"/>
      <c r="BZ1" s="4"/>
      <c r="CA1" s="4"/>
      <c r="CB1" s="4"/>
      <c r="CC1" s="4"/>
      <c r="CD1" s="4"/>
      <c r="CE1" s="4"/>
      <c r="CF1" s="4"/>
      <c r="CG1" s="4"/>
      <c r="CH1" s="4"/>
      <c r="CI1" s="4"/>
      <c r="CL1" s="4"/>
      <c r="CM1" s="4"/>
      <c r="CN1" s="5"/>
      <c r="CO1" s="5"/>
      <c r="CP1" s="6"/>
      <c r="CQ1" s="4"/>
      <c r="CR1" s="4"/>
      <c r="CS1" s="4"/>
      <c r="CT1" s="4"/>
      <c r="CU1" s="4"/>
      <c r="CV1" s="4"/>
      <c r="CW1" s="4"/>
      <c r="CX1" s="4"/>
      <c r="CY1" s="4"/>
      <c r="CZ1" s="4"/>
      <c r="DA1" s="4"/>
      <c r="DD1" s="4"/>
      <c r="DE1" s="4"/>
      <c r="DF1" s="5"/>
      <c r="DG1" s="5"/>
      <c r="DH1" s="6"/>
      <c r="DI1" s="4"/>
      <c r="DJ1" s="4"/>
      <c r="DK1" s="4"/>
      <c r="DL1" s="4"/>
      <c r="DM1" s="4"/>
      <c r="DN1" s="4"/>
      <c r="DO1" s="4"/>
      <c r="DP1" s="4"/>
      <c r="DQ1" s="4"/>
      <c r="DR1" s="4"/>
      <c r="DS1" s="4"/>
      <c r="DW1" s="24"/>
      <c r="DX1" s="57"/>
      <c r="DY1" s="57"/>
      <c r="DZ1" s="57"/>
      <c r="EA1" s="57"/>
      <c r="EB1" s="57"/>
      <c r="EC1" s="57"/>
      <c r="ED1" s="57"/>
      <c r="EE1" s="57"/>
      <c r="EF1" s="57"/>
      <c r="EG1" s="57"/>
      <c r="EH1" s="57"/>
      <c r="EI1" s="57"/>
      <c r="EJ1" s="58"/>
      <c r="EK1" s="58"/>
      <c r="EL1" s="58"/>
      <c r="EM1" s="58"/>
      <c r="EN1" s="58"/>
    </row>
    <row r="2" spans="1:194" ht="17.399999999999999" customHeight="1" x14ac:dyDescent="0.3">
      <c r="S2" s="4"/>
      <c r="T2" s="5"/>
      <c r="U2" s="5"/>
      <c r="V2" s="6"/>
      <c r="W2" s="4"/>
      <c r="X2" s="4"/>
      <c r="Y2" s="4"/>
      <c r="Z2" s="4"/>
      <c r="AA2" s="4"/>
      <c r="AB2" s="4"/>
      <c r="AC2" s="4"/>
      <c r="AD2" s="4"/>
      <c r="AE2" s="4"/>
      <c r="AF2" s="4"/>
      <c r="AG2" s="4"/>
      <c r="AJ2" s="4"/>
      <c r="AK2" s="4"/>
      <c r="AL2" s="5"/>
      <c r="AM2" s="5"/>
      <c r="AN2" s="6"/>
      <c r="AO2" s="4"/>
      <c r="AP2" s="4"/>
      <c r="AQ2" s="4"/>
      <c r="AR2" s="4"/>
      <c r="AS2" s="4"/>
      <c r="AT2" s="4"/>
      <c r="AU2" s="4"/>
      <c r="AV2" s="4"/>
      <c r="AW2" s="4"/>
      <c r="AX2" s="4"/>
      <c r="AY2" s="4"/>
      <c r="BB2" s="4"/>
      <c r="BC2" s="4"/>
      <c r="BD2" s="5"/>
      <c r="BE2" s="5"/>
      <c r="BF2" s="6"/>
      <c r="BG2" s="4"/>
      <c r="BH2" s="4"/>
      <c r="BI2" s="4"/>
      <c r="BJ2" s="4"/>
      <c r="BK2" s="4"/>
      <c r="BL2" s="4"/>
      <c r="BM2" s="4"/>
      <c r="BN2" s="4"/>
      <c r="BO2" s="4"/>
      <c r="BP2" s="4"/>
      <c r="BQ2" s="4"/>
      <c r="BT2" s="4"/>
      <c r="BU2" s="4"/>
      <c r="BV2" s="5"/>
      <c r="BW2" s="5"/>
      <c r="BX2" s="6"/>
      <c r="BY2" s="4"/>
      <c r="BZ2" s="4"/>
      <c r="CA2" s="4"/>
      <c r="CB2" s="4"/>
      <c r="CC2" s="4"/>
      <c r="CD2" s="4"/>
      <c r="CE2" s="4"/>
      <c r="CF2" s="4"/>
      <c r="CG2" s="4"/>
      <c r="CH2" s="4"/>
      <c r="CI2" s="4"/>
      <c r="CL2" s="4"/>
      <c r="CM2" s="4"/>
      <c r="CN2" s="5"/>
      <c r="CO2" s="5"/>
      <c r="CP2" s="6"/>
      <c r="CQ2" s="4"/>
      <c r="CR2" s="4"/>
      <c r="CS2" s="4"/>
      <c r="CT2" s="4"/>
      <c r="CU2" s="4"/>
      <c r="CV2" s="4"/>
      <c r="CW2" s="4"/>
      <c r="CX2" s="4"/>
      <c r="CY2" s="4"/>
      <c r="CZ2" s="4"/>
      <c r="DA2" s="4"/>
      <c r="DD2" s="4"/>
      <c r="DE2" s="4"/>
      <c r="DF2" s="5"/>
      <c r="DG2" s="5"/>
      <c r="DH2" s="6"/>
      <c r="DI2" s="4"/>
      <c r="DJ2" s="4"/>
      <c r="DK2" s="4"/>
      <c r="DL2" s="4"/>
      <c r="DM2" s="4"/>
      <c r="DN2" s="4"/>
      <c r="DO2" s="4"/>
      <c r="DP2" s="4"/>
      <c r="DQ2" s="4"/>
      <c r="DR2" s="4"/>
      <c r="DS2" s="4"/>
      <c r="DW2" s="27"/>
      <c r="DX2" s="59"/>
      <c r="DY2" s="59"/>
      <c r="DZ2" s="59"/>
      <c r="EA2" s="59"/>
      <c r="EB2" s="59"/>
      <c r="EC2" s="59"/>
      <c r="ED2" s="59"/>
      <c r="EE2" s="59"/>
      <c r="EF2" s="59"/>
      <c r="EG2" s="59"/>
      <c r="EH2" s="59"/>
      <c r="EI2" s="59"/>
      <c r="EJ2" s="58"/>
      <c r="EK2" s="58"/>
      <c r="EL2" s="58"/>
      <c r="EM2" s="58"/>
      <c r="EN2" s="58"/>
    </row>
    <row r="3" spans="1:194" s="9" customFormat="1" ht="34.950000000000003" customHeight="1" x14ac:dyDescent="0.3">
      <c r="A3" s="53" t="s">
        <v>154</v>
      </c>
      <c r="B3" s="7" t="s">
        <v>0</v>
      </c>
      <c r="C3" s="8"/>
      <c r="D3" s="2"/>
      <c r="S3" s="53" t="s">
        <v>155</v>
      </c>
      <c r="T3" s="140" t="s">
        <v>12</v>
      </c>
      <c r="U3" s="140"/>
      <c r="V3" s="140"/>
      <c r="W3" s="140"/>
      <c r="X3" s="10"/>
      <c r="Y3" s="10"/>
      <c r="Z3" s="10"/>
      <c r="AA3" s="10"/>
      <c r="AB3" s="10"/>
      <c r="AC3" s="10"/>
      <c r="AD3" s="10"/>
      <c r="AE3" s="10"/>
      <c r="AF3" s="10"/>
      <c r="AG3" s="10"/>
      <c r="AJ3" s="10"/>
      <c r="AK3" s="53" t="s">
        <v>156</v>
      </c>
      <c r="AL3" s="11" t="s">
        <v>22</v>
      </c>
      <c r="AM3" s="12"/>
      <c r="AN3" s="6"/>
      <c r="AO3" s="10"/>
      <c r="AP3" s="10"/>
      <c r="AQ3" s="10"/>
      <c r="AR3" s="10"/>
      <c r="AS3" s="10"/>
      <c r="AT3" s="10"/>
      <c r="AU3" s="10"/>
      <c r="AV3" s="10"/>
      <c r="AW3" s="10"/>
      <c r="AX3" s="10"/>
      <c r="AY3" s="10"/>
      <c r="BB3" s="10"/>
      <c r="BC3" s="53" t="s">
        <v>157</v>
      </c>
      <c r="BD3" s="141" t="s">
        <v>32</v>
      </c>
      <c r="BE3" s="141"/>
      <c r="BF3" s="141"/>
      <c r="BG3" s="10"/>
      <c r="BH3" s="10"/>
      <c r="BI3" s="10"/>
      <c r="BJ3" s="10"/>
      <c r="BK3" s="10"/>
      <c r="BL3" s="10"/>
      <c r="BM3" s="10"/>
      <c r="BN3" s="10"/>
      <c r="BO3" s="10"/>
      <c r="BP3" s="10"/>
      <c r="BQ3" s="10"/>
      <c r="BT3" s="13"/>
      <c r="BU3" s="53" t="s">
        <v>158</v>
      </c>
      <c r="BV3" s="11" t="s">
        <v>42</v>
      </c>
      <c r="BW3" s="14"/>
      <c r="BX3" s="6"/>
      <c r="BY3" s="13"/>
      <c r="BZ3" s="13"/>
      <c r="CA3" s="13"/>
      <c r="CB3" s="13"/>
      <c r="CC3" s="13"/>
      <c r="CD3" s="13"/>
      <c r="CE3" s="13"/>
      <c r="CF3" s="13"/>
      <c r="CG3" s="13"/>
      <c r="CH3" s="13"/>
      <c r="CI3" s="13"/>
      <c r="CL3" s="13"/>
      <c r="CM3" s="53" t="s">
        <v>159</v>
      </c>
      <c r="CN3" s="141" t="s">
        <v>52</v>
      </c>
      <c r="CO3" s="141"/>
      <c r="CP3" s="141"/>
      <c r="CQ3" s="141"/>
      <c r="CR3" s="11"/>
      <c r="CS3" s="11"/>
      <c r="CT3" s="11"/>
      <c r="CU3" s="13"/>
      <c r="CV3" s="13"/>
      <c r="CW3" s="13"/>
      <c r="CX3" s="13"/>
      <c r="CY3" s="13"/>
      <c r="CZ3" s="13"/>
      <c r="DA3" s="13"/>
      <c r="DD3" s="13"/>
      <c r="DE3" s="53" t="s">
        <v>160</v>
      </c>
      <c r="DF3" s="141" t="s">
        <v>62</v>
      </c>
      <c r="DG3" s="141"/>
      <c r="DH3" s="141"/>
      <c r="DI3" s="141"/>
      <c r="DJ3" s="11"/>
      <c r="DK3" s="11"/>
      <c r="DL3" s="13"/>
      <c r="DM3" s="13"/>
      <c r="DN3" s="13"/>
      <c r="DO3" s="13"/>
      <c r="DP3" s="13"/>
      <c r="DQ3" s="13"/>
      <c r="DR3" s="13"/>
      <c r="DS3" s="13"/>
      <c r="DW3" s="27"/>
      <c r="DX3" s="142" t="str">
        <f>CONCATENATE("Results Belbin test per section of ",Start!C4)</f>
        <v xml:space="preserve">Results Belbin test per section of </v>
      </c>
      <c r="DY3" s="142"/>
      <c r="DZ3" s="142"/>
      <c r="EA3" s="142"/>
      <c r="EB3" s="142"/>
      <c r="EC3" s="142"/>
      <c r="ED3" s="142"/>
      <c r="EE3" s="142"/>
      <c r="EF3" s="142"/>
      <c r="EG3" s="142"/>
      <c r="EH3" s="142"/>
      <c r="EI3" s="59"/>
      <c r="EJ3" s="60"/>
      <c r="EK3" s="60"/>
      <c r="EL3" s="60"/>
      <c r="EM3" s="60"/>
      <c r="EN3" s="60"/>
    </row>
    <row r="4" spans="1:194" ht="18" thickBot="1" x14ac:dyDescent="0.35">
      <c r="S4" s="4"/>
      <c r="T4" s="15"/>
      <c r="U4" s="15"/>
      <c r="V4" s="6"/>
      <c r="W4" s="4"/>
      <c r="X4" s="4"/>
      <c r="Y4" s="4"/>
      <c r="Z4" s="4"/>
      <c r="AA4" s="4"/>
      <c r="AB4" s="4"/>
      <c r="AC4" s="4"/>
      <c r="AD4" s="4"/>
      <c r="AE4" s="4"/>
      <c r="AF4" s="4"/>
      <c r="AG4" s="4"/>
      <c r="AJ4" s="4"/>
      <c r="AK4" s="4"/>
      <c r="AL4" s="15"/>
      <c r="AM4" s="15"/>
      <c r="AN4" s="6"/>
      <c r="AO4" s="4"/>
      <c r="AP4" s="4"/>
      <c r="AQ4" s="4"/>
      <c r="AR4" s="4"/>
      <c r="AS4" s="4"/>
      <c r="AT4" s="4"/>
      <c r="AU4" s="4"/>
      <c r="AV4" s="4"/>
      <c r="AW4" s="4"/>
      <c r="AX4" s="4"/>
      <c r="AY4" s="4"/>
      <c r="BB4" s="4"/>
      <c r="BC4" s="4"/>
      <c r="BD4" s="15"/>
      <c r="BE4" s="15"/>
      <c r="BF4" s="6"/>
      <c r="BG4" s="4"/>
      <c r="BH4" s="4"/>
      <c r="BI4" s="4"/>
      <c r="BJ4" s="4"/>
      <c r="BK4" s="4"/>
      <c r="BL4" s="4"/>
      <c r="BM4" s="4"/>
      <c r="BN4" s="4"/>
      <c r="BO4" s="4"/>
      <c r="BP4" s="4"/>
      <c r="BQ4" s="4"/>
      <c r="BT4" s="4"/>
      <c r="BU4" s="4"/>
      <c r="BV4" s="15"/>
      <c r="BW4" s="15"/>
      <c r="BX4" s="6"/>
      <c r="BY4" s="4"/>
      <c r="BZ4" s="4"/>
      <c r="CA4" s="4"/>
      <c r="CB4" s="4"/>
      <c r="CC4" s="4"/>
      <c r="CD4" s="4"/>
      <c r="CE4" s="4"/>
      <c r="CF4" s="4"/>
      <c r="CG4" s="4"/>
      <c r="CH4" s="4"/>
      <c r="CI4" s="4"/>
      <c r="CL4" s="4"/>
      <c r="CM4" s="4"/>
      <c r="CN4" s="15"/>
      <c r="CO4" s="15"/>
      <c r="CP4" s="6"/>
      <c r="CQ4" s="4"/>
      <c r="CR4" s="4"/>
      <c r="CS4" s="4"/>
      <c r="CT4" s="4"/>
      <c r="CU4" s="4"/>
      <c r="CV4" s="4"/>
      <c r="CW4" s="4"/>
      <c r="CX4" s="4"/>
      <c r="CY4" s="4"/>
      <c r="CZ4" s="4"/>
      <c r="DA4" s="4"/>
      <c r="DD4" s="4"/>
      <c r="DE4" s="4"/>
      <c r="DF4" s="15"/>
      <c r="DG4" s="15"/>
      <c r="DH4" s="6"/>
      <c r="DI4" s="4"/>
      <c r="DJ4" s="4"/>
      <c r="DK4" s="4"/>
      <c r="DL4" s="4"/>
      <c r="DM4" s="4"/>
      <c r="DN4" s="4"/>
      <c r="DO4" s="4"/>
      <c r="DP4" s="4"/>
      <c r="DQ4" s="4"/>
      <c r="DR4" s="4"/>
      <c r="DS4" s="4"/>
      <c r="DW4" s="27"/>
      <c r="DX4" s="137" t="s">
        <v>72</v>
      </c>
      <c r="DY4" s="138"/>
      <c r="DZ4" s="137" t="s">
        <v>73</v>
      </c>
      <c r="EA4" s="139"/>
      <c r="EB4" s="139"/>
      <c r="EC4" s="139"/>
      <c r="ED4" s="139"/>
      <c r="EE4" s="139"/>
      <c r="EF4" s="139"/>
      <c r="EG4" s="139"/>
      <c r="EH4" s="138"/>
      <c r="EI4" s="59"/>
      <c r="EJ4" s="59"/>
      <c r="EK4" s="130" t="s">
        <v>81</v>
      </c>
      <c r="EL4" s="131"/>
      <c r="EM4" s="131"/>
      <c r="EN4" s="132"/>
      <c r="EU4" s="28"/>
      <c r="EV4" s="28">
        <f>Start!C4</f>
        <v>0</v>
      </c>
    </row>
    <row r="5" spans="1:194" s="17" customFormat="1" ht="31.95" customHeight="1" thickTop="1" thickBot="1" x14ac:dyDescent="0.35">
      <c r="B5" s="16" t="s">
        <v>1</v>
      </c>
      <c r="C5" s="16"/>
      <c r="D5" s="41"/>
      <c r="F5" s="133" t="s">
        <v>2</v>
      </c>
      <c r="G5" s="134"/>
      <c r="H5" s="134"/>
      <c r="I5" s="134"/>
      <c r="J5" s="134"/>
      <c r="K5" s="134"/>
      <c r="L5" s="134"/>
      <c r="M5" s="134"/>
      <c r="N5" s="134"/>
      <c r="S5" s="18"/>
      <c r="T5" s="19" t="s">
        <v>13</v>
      </c>
      <c r="U5" s="19"/>
      <c r="V5" s="41"/>
      <c r="W5" s="18"/>
      <c r="X5" s="135" t="s">
        <v>2</v>
      </c>
      <c r="Y5" s="136"/>
      <c r="Z5" s="136"/>
      <c r="AA5" s="136"/>
      <c r="AB5" s="136"/>
      <c r="AC5" s="136"/>
      <c r="AD5" s="136"/>
      <c r="AE5" s="136"/>
      <c r="AF5" s="136"/>
      <c r="AG5" s="18"/>
      <c r="AJ5" s="18"/>
      <c r="AK5" s="18"/>
      <c r="AL5" s="19" t="s">
        <v>23</v>
      </c>
      <c r="AM5" s="19"/>
      <c r="AN5" s="41"/>
      <c r="AO5" s="18"/>
      <c r="AP5" s="135" t="s">
        <v>2</v>
      </c>
      <c r="AQ5" s="136"/>
      <c r="AR5" s="136"/>
      <c r="AS5" s="136"/>
      <c r="AT5" s="136"/>
      <c r="AU5" s="136"/>
      <c r="AV5" s="136"/>
      <c r="AW5" s="136"/>
      <c r="AX5" s="136"/>
      <c r="AY5" s="18"/>
      <c r="BB5" s="18"/>
      <c r="BC5" s="18"/>
      <c r="BD5" s="19" t="s">
        <v>33</v>
      </c>
      <c r="BE5" s="19"/>
      <c r="BF5" s="41"/>
      <c r="BG5" s="18"/>
      <c r="BH5" s="135" t="s">
        <v>2</v>
      </c>
      <c r="BI5" s="136"/>
      <c r="BJ5" s="136"/>
      <c r="BK5" s="136"/>
      <c r="BL5" s="136"/>
      <c r="BM5" s="136"/>
      <c r="BN5" s="136"/>
      <c r="BO5" s="136"/>
      <c r="BP5" s="136"/>
      <c r="BQ5" s="18"/>
      <c r="BT5" s="18"/>
      <c r="BU5" s="18"/>
      <c r="BV5" s="19" t="s">
        <v>43</v>
      </c>
      <c r="BW5" s="19"/>
      <c r="BX5" s="41"/>
      <c r="BY5" s="18"/>
      <c r="BZ5" s="135" t="s">
        <v>2</v>
      </c>
      <c r="CA5" s="136"/>
      <c r="CB5" s="136"/>
      <c r="CC5" s="136"/>
      <c r="CD5" s="136"/>
      <c r="CE5" s="136"/>
      <c r="CF5" s="136"/>
      <c r="CG5" s="136"/>
      <c r="CH5" s="136"/>
      <c r="CI5" s="18"/>
      <c r="CL5" s="18"/>
      <c r="CM5" s="18"/>
      <c r="CN5" s="19" t="s">
        <v>53</v>
      </c>
      <c r="CO5" s="19"/>
      <c r="CP5" s="41"/>
      <c r="CQ5" s="18"/>
      <c r="CR5" s="135" t="s">
        <v>2</v>
      </c>
      <c r="CS5" s="136"/>
      <c r="CT5" s="136"/>
      <c r="CU5" s="136"/>
      <c r="CV5" s="136"/>
      <c r="CW5" s="136"/>
      <c r="CX5" s="136"/>
      <c r="CY5" s="136"/>
      <c r="CZ5" s="136"/>
      <c r="DA5" s="18"/>
      <c r="DD5" s="4"/>
      <c r="DE5" s="4"/>
      <c r="DF5" s="15" t="s">
        <v>63</v>
      </c>
      <c r="DG5" s="15"/>
      <c r="DH5" s="41"/>
      <c r="DI5" s="4"/>
      <c r="DJ5" s="135" t="s">
        <v>2</v>
      </c>
      <c r="DK5" s="136"/>
      <c r="DL5" s="136"/>
      <c r="DM5" s="136"/>
      <c r="DN5" s="136"/>
      <c r="DO5" s="136"/>
      <c r="DP5" s="136"/>
      <c r="DQ5" s="136"/>
      <c r="DR5" s="136"/>
      <c r="DS5" s="4"/>
      <c r="DW5" s="27"/>
      <c r="DX5" s="56" t="s">
        <v>74</v>
      </c>
      <c r="DY5" s="56"/>
      <c r="DZ5" s="80">
        <f>D9</f>
        <v>0</v>
      </c>
      <c r="EA5" s="80">
        <f>D13</f>
        <v>0</v>
      </c>
      <c r="EB5" s="80">
        <f>D21</f>
        <v>0</v>
      </c>
      <c r="EC5" s="80">
        <f>D19</f>
        <v>0</v>
      </c>
      <c r="ED5" s="80">
        <f>D5</f>
        <v>0</v>
      </c>
      <c r="EE5" s="80">
        <f>D17</f>
        <v>0</v>
      </c>
      <c r="EF5" s="80">
        <f>D7</f>
        <v>0</v>
      </c>
      <c r="EG5" s="80">
        <f>D11</f>
        <v>0</v>
      </c>
      <c r="EH5" s="80">
        <f>D15</f>
        <v>0</v>
      </c>
      <c r="EI5" s="59"/>
      <c r="EJ5" s="61"/>
      <c r="EK5" s="62" t="s">
        <v>82</v>
      </c>
      <c r="EL5" s="63"/>
      <c r="EM5" s="64">
        <f>DZ19</f>
        <v>0</v>
      </c>
      <c r="EN5" s="65"/>
      <c r="EO5" s="26"/>
      <c r="EU5" s="54" t="str">
        <f>EK5</f>
        <v>Implementor</v>
      </c>
      <c r="EV5" s="54">
        <f>EM5</f>
        <v>0</v>
      </c>
    </row>
    <row r="6" spans="1:194" ht="4.95" customHeight="1" thickTop="1" thickBot="1" x14ac:dyDescent="0.35">
      <c r="F6" s="134"/>
      <c r="G6" s="134"/>
      <c r="H6" s="134"/>
      <c r="I6" s="134"/>
      <c r="J6" s="134"/>
      <c r="K6" s="134"/>
      <c r="L6" s="134"/>
      <c r="M6" s="134"/>
      <c r="N6" s="134"/>
      <c r="S6" s="4"/>
      <c r="T6" s="15"/>
      <c r="U6" s="15"/>
      <c r="V6" s="2"/>
      <c r="W6" s="4"/>
      <c r="X6" s="136"/>
      <c r="Y6" s="136"/>
      <c r="Z6" s="136"/>
      <c r="AA6" s="136"/>
      <c r="AB6" s="136"/>
      <c r="AC6" s="136"/>
      <c r="AD6" s="136"/>
      <c r="AE6" s="136"/>
      <c r="AF6" s="136"/>
      <c r="AG6" s="4"/>
      <c r="AJ6" s="4"/>
      <c r="AK6" s="4"/>
      <c r="AL6" s="15"/>
      <c r="AM6" s="15"/>
      <c r="AN6" s="2"/>
      <c r="AO6" s="4"/>
      <c r="AP6" s="136"/>
      <c r="AQ6" s="136"/>
      <c r="AR6" s="136"/>
      <c r="AS6" s="136"/>
      <c r="AT6" s="136"/>
      <c r="AU6" s="136"/>
      <c r="AV6" s="136"/>
      <c r="AW6" s="136"/>
      <c r="AX6" s="136"/>
      <c r="AY6" s="4"/>
      <c r="BB6" s="4"/>
      <c r="BC6" s="4"/>
      <c r="BD6" s="15"/>
      <c r="BE6" s="15"/>
      <c r="BF6" s="2"/>
      <c r="BG6" s="4"/>
      <c r="BH6" s="136"/>
      <c r="BI6" s="136"/>
      <c r="BJ6" s="136"/>
      <c r="BK6" s="136"/>
      <c r="BL6" s="136"/>
      <c r="BM6" s="136"/>
      <c r="BN6" s="136"/>
      <c r="BO6" s="136"/>
      <c r="BP6" s="136"/>
      <c r="BQ6" s="4"/>
      <c r="BT6" s="4"/>
      <c r="BU6" s="4"/>
      <c r="BV6" s="15"/>
      <c r="BW6" s="15"/>
      <c r="BX6" s="2"/>
      <c r="BY6" s="4"/>
      <c r="BZ6" s="136"/>
      <c r="CA6" s="136"/>
      <c r="CB6" s="136"/>
      <c r="CC6" s="136"/>
      <c r="CD6" s="136"/>
      <c r="CE6" s="136"/>
      <c r="CF6" s="136"/>
      <c r="CG6" s="136"/>
      <c r="CH6" s="136"/>
      <c r="CI6" s="4"/>
      <c r="CL6" s="4"/>
      <c r="CM6" s="4"/>
      <c r="CN6" s="15"/>
      <c r="CO6" s="15"/>
      <c r="CP6" s="2"/>
      <c r="CQ6" s="4"/>
      <c r="CR6" s="136"/>
      <c r="CS6" s="136"/>
      <c r="CT6" s="136"/>
      <c r="CU6" s="136"/>
      <c r="CV6" s="136"/>
      <c r="CW6" s="136"/>
      <c r="CX6" s="136"/>
      <c r="CY6" s="136"/>
      <c r="CZ6" s="136"/>
      <c r="DA6" s="4"/>
      <c r="DD6" s="4"/>
      <c r="DE6" s="4"/>
      <c r="DF6" s="15"/>
      <c r="DG6" s="15"/>
      <c r="DH6" s="2"/>
      <c r="DI6" s="4"/>
      <c r="DJ6" s="136"/>
      <c r="DK6" s="136"/>
      <c r="DL6" s="136"/>
      <c r="DM6" s="136"/>
      <c r="DN6" s="136"/>
      <c r="DO6" s="136"/>
      <c r="DP6" s="136"/>
      <c r="DQ6" s="136"/>
      <c r="DR6" s="136"/>
      <c r="DS6" s="4"/>
      <c r="DW6" s="27"/>
      <c r="DX6" s="66"/>
      <c r="DY6" s="66"/>
      <c r="DZ6" s="66"/>
      <c r="EA6" s="66"/>
      <c r="EB6" s="66"/>
      <c r="EC6" s="66"/>
      <c r="ED6" s="66"/>
      <c r="EE6" s="66"/>
      <c r="EF6" s="66"/>
      <c r="EG6" s="66"/>
      <c r="EH6" s="66"/>
      <c r="EI6" s="59"/>
      <c r="EJ6" s="58"/>
      <c r="EK6" s="67"/>
      <c r="EL6" s="58"/>
      <c r="EM6" s="64"/>
      <c r="EN6" s="68"/>
      <c r="EO6" s="25"/>
      <c r="EU6" s="54" t="str">
        <f>EK7</f>
        <v>Coordinator</v>
      </c>
      <c r="EV6" s="54">
        <f>EM7</f>
        <v>0</v>
      </c>
    </row>
    <row r="7" spans="1:194" s="17" customFormat="1" ht="31.95" customHeight="1" thickTop="1" thickBot="1" x14ac:dyDescent="0.35">
      <c r="B7" s="16" t="s">
        <v>3</v>
      </c>
      <c r="C7" s="16"/>
      <c r="D7" s="41"/>
      <c r="F7" s="134"/>
      <c r="G7" s="134"/>
      <c r="H7" s="134"/>
      <c r="I7" s="134"/>
      <c r="J7" s="134"/>
      <c r="K7" s="134"/>
      <c r="L7" s="134"/>
      <c r="M7" s="134"/>
      <c r="N7" s="134"/>
      <c r="S7" s="18"/>
      <c r="T7" s="19" t="s">
        <v>14</v>
      </c>
      <c r="U7" s="19"/>
      <c r="V7" s="41"/>
      <c r="W7" s="18"/>
      <c r="X7" s="136"/>
      <c r="Y7" s="136"/>
      <c r="Z7" s="136"/>
      <c r="AA7" s="136"/>
      <c r="AB7" s="136"/>
      <c r="AC7" s="136"/>
      <c r="AD7" s="136"/>
      <c r="AE7" s="136"/>
      <c r="AF7" s="136"/>
      <c r="AG7" s="18"/>
      <c r="AJ7" s="18"/>
      <c r="AK7" s="18"/>
      <c r="AL7" s="19" t="s">
        <v>24</v>
      </c>
      <c r="AM7" s="19"/>
      <c r="AN7" s="41"/>
      <c r="AO7" s="18"/>
      <c r="AP7" s="136"/>
      <c r="AQ7" s="136"/>
      <c r="AR7" s="136"/>
      <c r="AS7" s="136"/>
      <c r="AT7" s="136"/>
      <c r="AU7" s="136"/>
      <c r="AV7" s="136"/>
      <c r="AW7" s="136"/>
      <c r="AX7" s="136"/>
      <c r="AY7" s="18"/>
      <c r="BB7" s="18"/>
      <c r="BC7" s="18"/>
      <c r="BD7" s="19" t="s">
        <v>34</v>
      </c>
      <c r="BE7" s="19"/>
      <c r="BF7" s="41"/>
      <c r="BG7" s="18"/>
      <c r="BH7" s="136"/>
      <c r="BI7" s="136"/>
      <c r="BJ7" s="136"/>
      <c r="BK7" s="136"/>
      <c r="BL7" s="136"/>
      <c r="BM7" s="136"/>
      <c r="BN7" s="136"/>
      <c r="BO7" s="136"/>
      <c r="BP7" s="136"/>
      <c r="BQ7" s="18"/>
      <c r="BT7" s="18"/>
      <c r="BU7" s="18"/>
      <c r="BV7" s="19" t="s">
        <v>44</v>
      </c>
      <c r="BW7" s="19"/>
      <c r="BX7" s="41"/>
      <c r="BY7" s="18"/>
      <c r="BZ7" s="136"/>
      <c r="CA7" s="136"/>
      <c r="CB7" s="136"/>
      <c r="CC7" s="136"/>
      <c r="CD7" s="136"/>
      <c r="CE7" s="136"/>
      <c r="CF7" s="136"/>
      <c r="CG7" s="136"/>
      <c r="CH7" s="136"/>
      <c r="CI7" s="18"/>
      <c r="CL7" s="18"/>
      <c r="CM7" s="18"/>
      <c r="CN7" s="19" t="s">
        <v>54</v>
      </c>
      <c r="CO7" s="19"/>
      <c r="CP7" s="41"/>
      <c r="CQ7" s="18"/>
      <c r="CR7" s="136"/>
      <c r="CS7" s="136"/>
      <c r="CT7" s="136"/>
      <c r="CU7" s="136"/>
      <c r="CV7" s="136"/>
      <c r="CW7" s="136"/>
      <c r="CX7" s="136"/>
      <c r="CY7" s="136"/>
      <c r="CZ7" s="136"/>
      <c r="DA7" s="18"/>
      <c r="DD7" s="4"/>
      <c r="DE7" s="4"/>
      <c r="DF7" s="15" t="s">
        <v>64</v>
      </c>
      <c r="DG7" s="15"/>
      <c r="DH7" s="41"/>
      <c r="DI7" s="4"/>
      <c r="DJ7" s="136"/>
      <c r="DK7" s="136"/>
      <c r="DL7" s="136"/>
      <c r="DM7" s="136"/>
      <c r="DN7" s="136"/>
      <c r="DO7" s="136"/>
      <c r="DP7" s="136"/>
      <c r="DQ7" s="136"/>
      <c r="DR7" s="136"/>
      <c r="DS7" s="4"/>
      <c r="DW7" s="27"/>
      <c r="DX7" s="56" t="s">
        <v>75</v>
      </c>
      <c r="DY7" s="56"/>
      <c r="DZ7" s="81">
        <f>V5</f>
        <v>0</v>
      </c>
      <c r="EA7" s="81">
        <f>V17</f>
        <v>0</v>
      </c>
      <c r="EB7" s="81">
        <f>V15</f>
        <v>0</v>
      </c>
      <c r="EC7" s="81">
        <f>V11</f>
        <v>0</v>
      </c>
      <c r="ED7" s="81">
        <f>V21</f>
        <v>0</v>
      </c>
      <c r="EE7" s="81">
        <f>V7</f>
        <v>0</v>
      </c>
      <c r="EF7" s="81">
        <f>V9</f>
        <v>0</v>
      </c>
      <c r="EG7" s="81">
        <f>V13</f>
        <v>0</v>
      </c>
      <c r="EH7" s="81">
        <f>V19</f>
        <v>0</v>
      </c>
      <c r="EI7" s="59"/>
      <c r="EJ7" s="61"/>
      <c r="EK7" s="74" t="s">
        <v>83</v>
      </c>
      <c r="EL7" s="75"/>
      <c r="EM7" s="64">
        <f>EA19</f>
        <v>0</v>
      </c>
      <c r="EN7" s="65"/>
      <c r="EO7" s="26"/>
      <c r="EU7" s="54" t="str">
        <f>EK9</f>
        <v>Shaper</v>
      </c>
      <c r="EV7" s="54">
        <f>EM9</f>
        <v>0</v>
      </c>
    </row>
    <row r="8" spans="1:194" ht="4.95" customHeight="1" thickTop="1" thickBot="1" x14ac:dyDescent="0.35">
      <c r="S8" s="4"/>
      <c r="T8" s="15"/>
      <c r="U8" s="15"/>
      <c r="V8" s="2"/>
      <c r="W8" s="4"/>
      <c r="X8" s="4"/>
      <c r="Y8" s="4"/>
      <c r="Z8" s="4"/>
      <c r="AA8" s="4"/>
      <c r="AB8" s="4"/>
      <c r="AC8" s="4"/>
      <c r="AD8" s="4"/>
      <c r="AE8" s="4"/>
      <c r="AF8" s="4"/>
      <c r="AG8" s="4"/>
      <c r="AJ8" s="4"/>
      <c r="AK8" s="4"/>
      <c r="AL8" s="15"/>
      <c r="AM8" s="15"/>
      <c r="AN8" s="2"/>
      <c r="AO8" s="4"/>
      <c r="AP8" s="4"/>
      <c r="AQ8" s="4"/>
      <c r="AR8" s="4"/>
      <c r="AS8" s="4"/>
      <c r="AT8" s="4"/>
      <c r="AU8" s="4"/>
      <c r="AV8" s="4"/>
      <c r="AW8" s="4"/>
      <c r="AX8" s="4"/>
      <c r="AY8" s="4"/>
      <c r="BB8" s="4"/>
      <c r="BC8" s="4"/>
      <c r="BD8" s="15"/>
      <c r="BE8" s="15"/>
      <c r="BF8" s="2"/>
      <c r="BG8" s="4"/>
      <c r="BH8" s="4"/>
      <c r="BI8" s="4"/>
      <c r="BJ8" s="4"/>
      <c r="BK8" s="4"/>
      <c r="BL8" s="4"/>
      <c r="BM8" s="4"/>
      <c r="BN8" s="4"/>
      <c r="BO8" s="4"/>
      <c r="BP8" s="4"/>
      <c r="BQ8" s="4"/>
      <c r="BT8" s="4"/>
      <c r="BU8" s="4"/>
      <c r="BV8" s="15"/>
      <c r="BW8" s="15"/>
      <c r="BX8" s="2"/>
      <c r="BY8" s="4"/>
      <c r="BZ8" s="4"/>
      <c r="CA8" s="4"/>
      <c r="CB8" s="4"/>
      <c r="CC8" s="4"/>
      <c r="CD8" s="4"/>
      <c r="CE8" s="4"/>
      <c r="CF8" s="4"/>
      <c r="CG8" s="4"/>
      <c r="CH8" s="4"/>
      <c r="CI8" s="4"/>
      <c r="CL8" s="4"/>
      <c r="CM8" s="4"/>
      <c r="CN8" s="15"/>
      <c r="CO8" s="15"/>
      <c r="CP8" s="2"/>
      <c r="CQ8" s="4"/>
      <c r="CR8" s="4"/>
      <c r="CS8" s="4"/>
      <c r="CT8" s="4"/>
      <c r="CU8" s="4"/>
      <c r="CV8" s="4"/>
      <c r="CW8" s="4"/>
      <c r="CX8" s="4"/>
      <c r="CY8" s="4"/>
      <c r="CZ8" s="4"/>
      <c r="DA8" s="4"/>
      <c r="DD8" s="4"/>
      <c r="DE8" s="4"/>
      <c r="DF8" s="15"/>
      <c r="DG8" s="15"/>
      <c r="DH8" s="2"/>
      <c r="DI8" s="4"/>
      <c r="DJ8" s="4"/>
      <c r="DK8" s="4"/>
      <c r="DL8" s="4"/>
      <c r="DM8" s="4"/>
      <c r="DN8" s="4"/>
      <c r="DO8" s="4"/>
      <c r="DP8" s="4"/>
      <c r="DQ8" s="4"/>
      <c r="DR8" s="4"/>
      <c r="DS8" s="4"/>
      <c r="DW8" s="27"/>
      <c r="DX8" s="66"/>
      <c r="DY8" s="66"/>
      <c r="DZ8" s="66"/>
      <c r="EA8" s="66"/>
      <c r="EB8" s="66"/>
      <c r="EC8" s="66"/>
      <c r="ED8" s="66"/>
      <c r="EE8" s="66"/>
      <c r="EF8" s="66"/>
      <c r="EG8" s="66"/>
      <c r="EH8" s="66"/>
      <c r="EI8" s="59"/>
      <c r="EJ8" s="58"/>
      <c r="EK8" s="67"/>
      <c r="EL8" s="58"/>
      <c r="EM8" s="64"/>
      <c r="EN8" s="68"/>
      <c r="EO8" s="25"/>
      <c r="EU8" s="54" t="str">
        <f>EK11</f>
        <v>Plant</v>
      </c>
      <c r="EV8" s="54">
        <f>EM11</f>
        <v>0</v>
      </c>
    </row>
    <row r="9" spans="1:194" s="17" customFormat="1" ht="31.95" customHeight="1" thickTop="1" thickBot="1" x14ac:dyDescent="0.35">
      <c r="B9" s="16" t="s">
        <v>4</v>
      </c>
      <c r="C9" s="16"/>
      <c r="D9" s="41"/>
      <c r="S9" s="18"/>
      <c r="T9" s="19" t="s">
        <v>15</v>
      </c>
      <c r="U9" s="19"/>
      <c r="V9" s="41"/>
      <c r="W9" s="18"/>
      <c r="X9" s="18"/>
      <c r="Y9" s="18"/>
      <c r="Z9" s="18"/>
      <c r="AA9" s="18"/>
      <c r="AB9" s="18"/>
      <c r="AC9" s="18"/>
      <c r="AD9" s="18"/>
      <c r="AE9" s="18"/>
      <c r="AF9" s="18"/>
      <c r="AG9" s="18"/>
      <c r="AJ9" s="18"/>
      <c r="AK9" s="18"/>
      <c r="AL9" s="19" t="s">
        <v>25</v>
      </c>
      <c r="AM9" s="19"/>
      <c r="AN9" s="41"/>
      <c r="AO9" s="18"/>
      <c r="AP9" s="18"/>
      <c r="AQ9" s="18"/>
      <c r="AR9" s="18"/>
      <c r="AS9" s="18"/>
      <c r="AT9" s="128" t="str">
        <f>IF(AS11&gt;0,"YOU HAVE NOT USED ALL OF YOUR POINTS YET","")</f>
        <v>YOU HAVE NOT USED ALL OF YOUR POINTS YET</v>
      </c>
      <c r="AU9" s="128"/>
      <c r="AV9" s="128"/>
      <c r="AW9" s="128"/>
      <c r="AX9" s="18"/>
      <c r="AY9" s="18"/>
      <c r="BB9" s="18"/>
      <c r="BC9" s="18"/>
      <c r="BD9" s="19" t="s">
        <v>35</v>
      </c>
      <c r="BE9" s="19"/>
      <c r="BF9" s="41"/>
      <c r="BG9" s="18"/>
      <c r="BH9" s="18"/>
      <c r="BI9" s="18"/>
      <c r="BJ9" s="18"/>
      <c r="BK9" s="18"/>
      <c r="BL9" s="18"/>
      <c r="BM9" s="18"/>
      <c r="BN9" s="18"/>
      <c r="BO9" s="18"/>
      <c r="BP9" s="18"/>
      <c r="BQ9" s="18"/>
      <c r="BT9" s="18"/>
      <c r="BU9" s="18"/>
      <c r="BV9" s="19" t="s">
        <v>45</v>
      </c>
      <c r="BW9" s="19"/>
      <c r="BX9" s="41"/>
      <c r="BY9" s="18"/>
      <c r="BZ9" s="18"/>
      <c r="CA9" s="18"/>
      <c r="CB9" s="18"/>
      <c r="CC9" s="18"/>
      <c r="CD9" s="18"/>
      <c r="CE9" s="18"/>
      <c r="CF9" s="18"/>
      <c r="CG9" s="18"/>
      <c r="CH9" s="18"/>
      <c r="CI9" s="18"/>
      <c r="CL9" s="18"/>
      <c r="CM9" s="18"/>
      <c r="CN9" s="19" t="s">
        <v>55</v>
      </c>
      <c r="CO9" s="19"/>
      <c r="CP9" s="41"/>
      <c r="CQ9" s="18"/>
      <c r="CR9" s="18"/>
      <c r="CS9" s="18"/>
      <c r="CT9" s="18"/>
      <c r="CU9" s="18"/>
      <c r="CV9" s="18"/>
      <c r="CW9" s="18"/>
      <c r="CX9" s="18"/>
      <c r="CY9" s="18"/>
      <c r="CZ9" s="18"/>
      <c r="DA9" s="18"/>
      <c r="DD9" s="4"/>
      <c r="DE9" s="4"/>
      <c r="DF9" s="15" t="s">
        <v>65</v>
      </c>
      <c r="DG9" s="15"/>
      <c r="DH9" s="41"/>
      <c r="DI9" s="4"/>
      <c r="DJ9" s="4"/>
      <c r="DK9" s="4"/>
      <c r="DL9" s="4"/>
      <c r="DM9" s="4"/>
      <c r="DN9" s="4"/>
      <c r="DO9" s="4"/>
      <c r="DP9" s="4"/>
      <c r="DQ9" s="4"/>
      <c r="DR9" s="4"/>
      <c r="DS9" s="4"/>
      <c r="DW9" s="27"/>
      <c r="DX9" s="56" t="s">
        <v>76</v>
      </c>
      <c r="DY9" s="56"/>
      <c r="DZ9" s="81">
        <f>AN21</f>
        <v>0</v>
      </c>
      <c r="EA9" s="81">
        <f>AN9</f>
        <v>0</v>
      </c>
      <c r="EB9" s="81">
        <f>AN19</f>
        <v>0</v>
      </c>
      <c r="EC9" s="81">
        <f>AN5</f>
        <v>0</v>
      </c>
      <c r="ED9" s="81">
        <f>AN11</f>
        <v>0</v>
      </c>
      <c r="EE9" s="81">
        <f>AN15</f>
        <v>0</v>
      </c>
      <c r="EF9" s="81">
        <f>AN17</f>
        <v>0</v>
      </c>
      <c r="EG9" s="81">
        <f>AN7</f>
        <v>0</v>
      </c>
      <c r="EH9" s="81">
        <f>AN13</f>
        <v>0</v>
      </c>
      <c r="EI9" s="59"/>
      <c r="EJ9" s="61"/>
      <c r="EK9" s="62" t="s">
        <v>84</v>
      </c>
      <c r="EL9" s="63"/>
      <c r="EM9" s="64">
        <f>EB19</f>
        <v>0</v>
      </c>
      <c r="EN9" s="65"/>
      <c r="EO9" s="26"/>
      <c r="EU9" s="54" t="str">
        <f>EK13</f>
        <v>Resource Investigator</v>
      </c>
      <c r="EV9" s="54">
        <f>EM13</f>
        <v>0</v>
      </c>
    </row>
    <row r="10" spans="1:194" ht="4.95" customHeight="1" thickTop="1" thickBot="1" x14ac:dyDescent="0.35">
      <c r="S10" s="4"/>
      <c r="T10" s="15"/>
      <c r="U10" s="15"/>
      <c r="V10" s="2"/>
      <c r="W10" s="4"/>
      <c r="X10" s="4"/>
      <c r="Y10" s="4"/>
      <c r="Z10" s="4"/>
      <c r="AA10" s="4"/>
      <c r="AB10" s="4"/>
      <c r="AC10" s="4"/>
      <c r="AD10" s="4"/>
      <c r="AE10" s="4"/>
      <c r="AF10" s="4"/>
      <c r="AG10" s="4"/>
      <c r="AJ10" s="4"/>
      <c r="AK10" s="4"/>
      <c r="AL10" s="15"/>
      <c r="AM10" s="15"/>
      <c r="AN10" s="2"/>
      <c r="AO10" s="4"/>
      <c r="AP10" s="4"/>
      <c r="AQ10" s="4"/>
      <c r="AR10" s="4"/>
      <c r="AS10" s="4"/>
      <c r="AT10" s="4"/>
      <c r="AU10" s="4"/>
      <c r="AV10" s="4"/>
      <c r="AW10" s="4"/>
      <c r="AX10" s="4"/>
      <c r="AY10" s="4"/>
      <c r="BB10" s="4"/>
      <c r="BC10" s="4"/>
      <c r="BD10" s="15"/>
      <c r="BE10" s="15"/>
      <c r="BF10" s="2"/>
      <c r="BG10" s="4"/>
      <c r="BH10" s="4"/>
      <c r="BI10" s="4"/>
      <c r="BJ10" s="4"/>
      <c r="BK10" s="4"/>
      <c r="BL10" s="4"/>
      <c r="BM10" s="4"/>
      <c r="BN10" s="4"/>
      <c r="BO10" s="4"/>
      <c r="BP10" s="4"/>
      <c r="BQ10" s="4"/>
      <c r="BT10" s="4"/>
      <c r="BU10" s="4"/>
      <c r="BV10" s="15"/>
      <c r="BW10" s="15"/>
      <c r="BX10" s="2"/>
      <c r="BY10" s="4"/>
      <c r="BZ10" s="4"/>
      <c r="CA10" s="4"/>
      <c r="CB10" s="4"/>
      <c r="CC10" s="4"/>
      <c r="CD10" s="4"/>
      <c r="CE10" s="4"/>
      <c r="CF10" s="4"/>
      <c r="CG10" s="4"/>
      <c r="CH10" s="4"/>
      <c r="CI10" s="4"/>
      <c r="CL10" s="4"/>
      <c r="CM10" s="4"/>
      <c r="CN10" s="15"/>
      <c r="CO10" s="15"/>
      <c r="CP10" s="2"/>
      <c r="CQ10" s="4"/>
      <c r="CR10" s="4"/>
      <c r="CS10" s="4"/>
      <c r="CT10" s="4"/>
      <c r="CU10" s="4"/>
      <c r="CV10" s="4"/>
      <c r="CW10" s="4"/>
      <c r="CX10" s="4"/>
      <c r="CY10" s="4"/>
      <c r="CZ10" s="4"/>
      <c r="DA10" s="4"/>
      <c r="DD10" s="4"/>
      <c r="DE10" s="4"/>
      <c r="DF10" s="15"/>
      <c r="DG10" s="15"/>
      <c r="DH10" s="2"/>
      <c r="DI10" s="4"/>
      <c r="DJ10" s="4"/>
      <c r="DK10" s="4"/>
      <c r="DL10" s="4"/>
      <c r="DM10" s="4"/>
      <c r="DN10" s="4"/>
      <c r="DO10" s="4"/>
      <c r="DP10" s="4"/>
      <c r="DQ10" s="4"/>
      <c r="DR10" s="4"/>
      <c r="DS10" s="4"/>
      <c r="DW10" s="27"/>
      <c r="DX10" s="66"/>
      <c r="DY10" s="66"/>
      <c r="DZ10" s="66"/>
      <c r="EA10" s="66"/>
      <c r="EB10" s="66"/>
      <c r="EC10" s="66"/>
      <c r="ED10" s="66"/>
      <c r="EE10" s="66"/>
      <c r="EF10" s="66"/>
      <c r="EG10" s="66"/>
      <c r="EH10" s="66"/>
      <c r="EI10" s="59"/>
      <c r="EJ10" s="58"/>
      <c r="EK10" s="67"/>
      <c r="EL10" s="58"/>
      <c r="EM10" s="64"/>
      <c r="EN10" s="68"/>
      <c r="EO10" s="25"/>
      <c r="EU10" s="54" t="str">
        <f>EK15</f>
        <v>Monitor Evaluator</v>
      </c>
      <c r="EV10" s="54">
        <f>EM15</f>
        <v>0</v>
      </c>
    </row>
    <row r="11" spans="1:194" s="17" customFormat="1" ht="31.95" customHeight="1" thickTop="1" thickBot="1" x14ac:dyDescent="0.35">
      <c r="B11" s="16" t="s">
        <v>5</v>
      </c>
      <c r="C11" s="16"/>
      <c r="D11" s="41"/>
      <c r="F11" s="129" t="s">
        <v>6</v>
      </c>
      <c r="G11" s="129"/>
      <c r="I11" s="22">
        <f>10-SUM(D5,D7,D9,D11,D13,D15,D17,D19,D21)</f>
        <v>10</v>
      </c>
      <c r="J11" s="126" t="str">
        <f>IF(I11&lt;0,"TOO MANY POINTS!","")</f>
        <v/>
      </c>
      <c r="K11" s="126"/>
      <c r="L11" s="126"/>
      <c r="M11" s="126"/>
      <c r="S11" s="18"/>
      <c r="T11" s="19" t="s">
        <v>16</v>
      </c>
      <c r="U11" s="19"/>
      <c r="V11" s="41"/>
      <c r="W11" s="18"/>
      <c r="X11" s="125" t="s">
        <v>6</v>
      </c>
      <c r="Y11" s="125"/>
      <c r="Z11" s="18"/>
      <c r="AA11" s="23">
        <f>10-SUM(V5,V7,V9,V11,V13,V15,V17,V19,V21)</f>
        <v>10</v>
      </c>
      <c r="AB11" s="126" t="str">
        <f>IF(AA11&lt;0,"TOO MANY POINTS!","")</f>
        <v/>
      </c>
      <c r="AC11" s="126"/>
      <c r="AD11" s="126"/>
      <c r="AE11" s="126"/>
      <c r="AF11" s="20"/>
      <c r="AG11" s="18"/>
      <c r="AJ11" s="18"/>
      <c r="AK11" s="18"/>
      <c r="AL11" s="19" t="s">
        <v>26</v>
      </c>
      <c r="AM11" s="19"/>
      <c r="AN11" s="41"/>
      <c r="AO11" s="18"/>
      <c r="AP11" s="125" t="s">
        <v>6</v>
      </c>
      <c r="AQ11" s="125"/>
      <c r="AR11" s="18"/>
      <c r="AS11" s="23">
        <f>10-SUM(AN5,AN7,AN9,AN11,AN13,AN15,AN17,AN19,AN21)</f>
        <v>10</v>
      </c>
      <c r="AT11" s="126" t="str">
        <f>IF(AS11&lt;0,"TOO MANY POINTS!","")</f>
        <v/>
      </c>
      <c r="AU11" s="126"/>
      <c r="AV11" s="126"/>
      <c r="AW11" s="126"/>
      <c r="AX11" s="20"/>
      <c r="AY11" s="18"/>
      <c r="BB11" s="18"/>
      <c r="BC11" s="18"/>
      <c r="BD11" s="19" t="s">
        <v>36</v>
      </c>
      <c r="BE11" s="19"/>
      <c r="BF11" s="41"/>
      <c r="BG11" s="18"/>
      <c r="BH11" s="125" t="s">
        <v>6</v>
      </c>
      <c r="BI11" s="125"/>
      <c r="BJ11" s="18"/>
      <c r="BK11" s="23">
        <f>10-SUM(BF5,BF7,BF9,BF11,BF13,BF15,BF17,BF19,BF21)</f>
        <v>10</v>
      </c>
      <c r="BL11" s="126" t="str">
        <f>IF(BK11&lt;0,"TOO MANY POINTS!","")</f>
        <v/>
      </c>
      <c r="BM11" s="126"/>
      <c r="BN11" s="126"/>
      <c r="BO11" s="126"/>
      <c r="BP11" s="20"/>
      <c r="BQ11" s="18"/>
      <c r="BT11" s="18"/>
      <c r="BU11" s="18"/>
      <c r="BV11" s="19" t="s">
        <v>46</v>
      </c>
      <c r="BW11" s="19"/>
      <c r="BX11" s="41"/>
      <c r="BY11" s="18"/>
      <c r="BZ11" s="125" t="s">
        <v>6</v>
      </c>
      <c r="CA11" s="125"/>
      <c r="CB11" s="18"/>
      <c r="CC11" s="23">
        <f>10-SUM(BX5,BX7,BX9,BX11,BX13,BX15,BX17,BX19,BX21)</f>
        <v>10</v>
      </c>
      <c r="CD11" s="126" t="str">
        <f>IF(CC11&lt;0,"TOO MANY POINTS!","")</f>
        <v/>
      </c>
      <c r="CE11" s="126"/>
      <c r="CF11" s="126"/>
      <c r="CG11" s="126"/>
      <c r="CH11" s="20"/>
      <c r="CI11" s="18"/>
      <c r="CL11" s="18"/>
      <c r="CM11" s="18"/>
      <c r="CN11" s="19" t="s">
        <v>56</v>
      </c>
      <c r="CO11" s="19"/>
      <c r="CP11" s="41"/>
      <c r="CQ11" s="18"/>
      <c r="CR11" s="125" t="s">
        <v>6</v>
      </c>
      <c r="CS11" s="125"/>
      <c r="CT11" s="18"/>
      <c r="CU11" s="23">
        <f>10-SUM(CP5,CP7,CP9,CP11,CP13,CP15,CP17,CP19,CP21)</f>
        <v>10</v>
      </c>
      <c r="CV11" s="126" t="str">
        <f>IF(CU11&lt;0,"TOO MANY POINTS!","")</f>
        <v/>
      </c>
      <c r="CW11" s="126"/>
      <c r="CX11" s="126"/>
      <c r="CY11" s="126"/>
      <c r="CZ11" s="20"/>
      <c r="DA11" s="18"/>
      <c r="DD11" s="4"/>
      <c r="DE11" s="4"/>
      <c r="DF11" s="15" t="s">
        <v>66</v>
      </c>
      <c r="DG11" s="15"/>
      <c r="DH11" s="41"/>
      <c r="DI11" s="4"/>
      <c r="DJ11" s="125" t="s">
        <v>6</v>
      </c>
      <c r="DK11" s="125"/>
      <c r="DL11" s="4"/>
      <c r="DM11" s="23">
        <f>10-SUM(DH5,DH7,DH9,DH11,DH13,DH15,DH17,DH19,DH21)</f>
        <v>10</v>
      </c>
      <c r="DN11" s="126" t="str">
        <f>IF(DM11&lt;0,"TOO MANY POINTS!","")</f>
        <v/>
      </c>
      <c r="DO11" s="126"/>
      <c r="DP11" s="126"/>
      <c r="DQ11" s="126"/>
      <c r="DR11" s="21"/>
      <c r="DS11" s="4"/>
      <c r="DW11" s="27"/>
      <c r="DX11" s="56" t="s">
        <v>77</v>
      </c>
      <c r="DY11" s="56"/>
      <c r="DZ11" s="81">
        <f>BF11</f>
        <v>0</v>
      </c>
      <c r="EA11" s="81">
        <f>BF7</f>
        <v>0</v>
      </c>
      <c r="EB11" s="81">
        <f>BF9</f>
        <v>0</v>
      </c>
      <c r="EC11" s="81">
        <f>BF13</f>
        <v>0</v>
      </c>
      <c r="ED11" s="81">
        <f>BF15</f>
        <v>0</v>
      </c>
      <c r="EE11" s="81">
        <f>BF19</f>
        <v>0</v>
      </c>
      <c r="EF11" s="81">
        <f>BF5</f>
        <v>0</v>
      </c>
      <c r="EG11" s="81">
        <f>BF17</f>
        <v>0</v>
      </c>
      <c r="EH11" s="81">
        <f>BF21</f>
        <v>0</v>
      </c>
      <c r="EI11" s="59"/>
      <c r="EJ11" s="61"/>
      <c r="EK11" s="74" t="s">
        <v>85</v>
      </c>
      <c r="EL11" s="75"/>
      <c r="EM11" s="64">
        <f>EC19</f>
        <v>0</v>
      </c>
      <c r="EN11" s="65"/>
      <c r="EO11" s="26"/>
      <c r="EU11" s="54" t="str">
        <f>EK17</f>
        <v>Team Worker</v>
      </c>
      <c r="EV11" s="54">
        <f>EM17</f>
        <v>0</v>
      </c>
    </row>
    <row r="12" spans="1:194" ht="4.95" customHeight="1" thickTop="1" thickBot="1" x14ac:dyDescent="0.35">
      <c r="J12" s="4"/>
      <c r="K12" s="4"/>
      <c r="L12" s="4"/>
      <c r="M12" s="4"/>
      <c r="S12" s="4"/>
      <c r="T12" s="15"/>
      <c r="U12" s="15"/>
      <c r="V12" s="2"/>
      <c r="W12" s="4"/>
      <c r="X12" s="4"/>
      <c r="Y12" s="4"/>
      <c r="Z12" s="4"/>
      <c r="AA12" s="4"/>
      <c r="AB12" s="4"/>
      <c r="AC12" s="4"/>
      <c r="AD12" s="4"/>
      <c r="AE12" s="4"/>
      <c r="AF12" s="21"/>
      <c r="AG12" s="4"/>
      <c r="AJ12" s="4"/>
      <c r="AK12" s="4"/>
      <c r="AL12" s="15"/>
      <c r="AM12" s="15"/>
      <c r="AN12" s="2"/>
      <c r="AO12" s="4"/>
      <c r="AP12" s="4"/>
      <c r="AQ12" s="4"/>
      <c r="AR12" s="4"/>
      <c r="AS12" s="4"/>
      <c r="AT12" s="4"/>
      <c r="AU12" s="4"/>
      <c r="AV12" s="4"/>
      <c r="AW12" s="4"/>
      <c r="AX12" s="21"/>
      <c r="AY12" s="4"/>
      <c r="BB12" s="4"/>
      <c r="BC12" s="4"/>
      <c r="BD12" s="15"/>
      <c r="BE12" s="15"/>
      <c r="BF12" s="2"/>
      <c r="BG12" s="4"/>
      <c r="BH12" s="4"/>
      <c r="BI12" s="4"/>
      <c r="BJ12" s="4"/>
      <c r="BK12" s="4"/>
      <c r="BL12" s="4"/>
      <c r="BM12" s="4"/>
      <c r="BN12" s="4"/>
      <c r="BO12" s="4"/>
      <c r="BP12" s="21"/>
      <c r="BQ12" s="4"/>
      <c r="BT12" s="4"/>
      <c r="BU12" s="4"/>
      <c r="BV12" s="15"/>
      <c r="BW12" s="15"/>
      <c r="BX12" s="2"/>
      <c r="BY12" s="4"/>
      <c r="BZ12" s="4"/>
      <c r="CA12" s="4"/>
      <c r="CB12" s="4"/>
      <c r="CC12" s="4"/>
      <c r="CD12" s="4"/>
      <c r="CE12" s="4"/>
      <c r="CF12" s="4"/>
      <c r="CG12" s="4"/>
      <c r="CH12" s="21"/>
      <c r="CI12" s="4"/>
      <c r="CL12" s="4"/>
      <c r="CM12" s="4"/>
      <c r="CN12" s="15"/>
      <c r="CO12" s="15"/>
      <c r="CP12" s="2"/>
      <c r="CQ12" s="4"/>
      <c r="CR12" s="4"/>
      <c r="CS12" s="4"/>
      <c r="CT12" s="4"/>
      <c r="CU12" s="4"/>
      <c r="CV12" s="4"/>
      <c r="CW12" s="4"/>
      <c r="CX12" s="4"/>
      <c r="CY12" s="4"/>
      <c r="CZ12" s="21"/>
      <c r="DA12" s="4"/>
      <c r="DD12" s="4"/>
      <c r="DE12" s="4"/>
      <c r="DF12" s="15"/>
      <c r="DG12" s="15"/>
      <c r="DH12" s="2"/>
      <c r="DI12" s="4"/>
      <c r="DJ12" s="4"/>
      <c r="DK12" s="4"/>
      <c r="DL12" s="4"/>
      <c r="DM12" s="4"/>
      <c r="DN12" s="4"/>
      <c r="DO12" s="4"/>
      <c r="DP12" s="4"/>
      <c r="DQ12" s="4"/>
      <c r="DR12" s="21"/>
      <c r="DS12" s="4"/>
      <c r="DW12" s="27"/>
      <c r="DX12" s="66"/>
      <c r="DY12" s="66"/>
      <c r="DZ12" s="66"/>
      <c r="EA12" s="66"/>
      <c r="EB12" s="66"/>
      <c r="EC12" s="66"/>
      <c r="ED12" s="66"/>
      <c r="EE12" s="66"/>
      <c r="EF12" s="66"/>
      <c r="EG12" s="66"/>
      <c r="EH12" s="66"/>
      <c r="EI12" s="59"/>
      <c r="EJ12" s="58"/>
      <c r="EK12" s="67"/>
      <c r="EL12" s="58"/>
      <c r="EM12" s="64"/>
      <c r="EN12" s="68"/>
      <c r="EO12" s="25"/>
      <c r="EU12" s="54" t="str">
        <f>EK19</f>
        <v>Complete Finisher</v>
      </c>
      <c r="EV12" s="54">
        <f>EM19</f>
        <v>0</v>
      </c>
    </row>
    <row r="13" spans="1:194" s="17" customFormat="1" ht="31.95" customHeight="1" thickTop="1" thickBot="1" x14ac:dyDescent="0.35">
      <c r="B13" s="16" t="s">
        <v>7</v>
      </c>
      <c r="C13" s="16"/>
      <c r="D13" s="41"/>
      <c r="J13" s="127" t="str">
        <f>IF(I11&gt;0,"YOU HAVE NOT USED ALL OF YOUR POINTS YET","")</f>
        <v>YOU HAVE NOT USED ALL OF YOUR POINTS YET</v>
      </c>
      <c r="K13" s="127"/>
      <c r="L13" s="127"/>
      <c r="M13" s="127"/>
      <c r="S13" s="18"/>
      <c r="T13" s="19" t="s">
        <v>17</v>
      </c>
      <c r="U13" s="19"/>
      <c r="V13" s="41"/>
      <c r="W13" s="18"/>
      <c r="X13" s="18"/>
      <c r="Y13" s="18"/>
      <c r="Z13" s="18"/>
      <c r="AA13" s="18"/>
      <c r="AB13" s="127" t="str">
        <f>IF(AA11&gt;0,"YOU HAVE NOT USED ALL OF YOUR POINTS YET","")</f>
        <v>YOU HAVE NOT USED ALL OF YOUR POINTS YET</v>
      </c>
      <c r="AC13" s="127"/>
      <c r="AD13" s="127"/>
      <c r="AE13" s="127"/>
      <c r="AF13" s="20"/>
      <c r="AG13" s="18"/>
      <c r="AJ13" s="18"/>
      <c r="AK13" s="18"/>
      <c r="AL13" s="19" t="s">
        <v>27</v>
      </c>
      <c r="AM13" s="19"/>
      <c r="AN13" s="41"/>
      <c r="AO13" s="18"/>
      <c r="AP13" s="18"/>
      <c r="AQ13" s="18"/>
      <c r="AR13" s="18"/>
      <c r="AS13" s="18"/>
      <c r="AT13" s="127" t="str">
        <f>IF(AS11&gt;0,"YOU HAVE NOT USED ALL OF YOUR POINTS YET","")</f>
        <v>YOU HAVE NOT USED ALL OF YOUR POINTS YET</v>
      </c>
      <c r="AU13" s="127"/>
      <c r="AV13" s="127"/>
      <c r="AW13" s="127"/>
      <c r="AX13" s="20"/>
      <c r="AY13" s="18"/>
      <c r="BB13" s="18"/>
      <c r="BC13" s="18"/>
      <c r="BD13" s="19" t="s">
        <v>37</v>
      </c>
      <c r="BE13" s="19"/>
      <c r="BF13" s="41"/>
      <c r="BG13" s="18"/>
      <c r="BH13" s="18"/>
      <c r="BI13" s="18"/>
      <c r="BJ13" s="18"/>
      <c r="BK13" s="18"/>
      <c r="BL13" s="127" t="str">
        <f>IF(BK11&gt;0,"YOU HAVE NOT USED ALL OF YOUR POINTS YET","")</f>
        <v>YOU HAVE NOT USED ALL OF YOUR POINTS YET</v>
      </c>
      <c r="BM13" s="127"/>
      <c r="BN13" s="127"/>
      <c r="BO13" s="127"/>
      <c r="BP13" s="20"/>
      <c r="BQ13" s="18"/>
      <c r="BT13" s="18"/>
      <c r="BU13" s="18"/>
      <c r="BV13" s="19" t="s">
        <v>47</v>
      </c>
      <c r="BW13" s="19"/>
      <c r="BX13" s="41"/>
      <c r="BY13" s="18"/>
      <c r="BZ13" s="18"/>
      <c r="CA13" s="18"/>
      <c r="CB13" s="18"/>
      <c r="CC13" s="18"/>
      <c r="CD13" s="127" t="str">
        <f>IF(CC11&gt;0,"YOU HAVE NOT USED ALL OF YOUR POINTS YET","")</f>
        <v>YOU HAVE NOT USED ALL OF YOUR POINTS YET</v>
      </c>
      <c r="CE13" s="127"/>
      <c r="CF13" s="127"/>
      <c r="CG13" s="127"/>
      <c r="CH13" s="20"/>
      <c r="CI13" s="18"/>
      <c r="CL13" s="18"/>
      <c r="CM13" s="18"/>
      <c r="CN13" s="19" t="s">
        <v>57</v>
      </c>
      <c r="CO13" s="19"/>
      <c r="CP13" s="41"/>
      <c r="CQ13" s="18"/>
      <c r="CR13" s="18"/>
      <c r="CS13" s="18"/>
      <c r="CT13" s="18"/>
      <c r="CU13" s="18"/>
      <c r="CV13" s="127" t="str">
        <f>IF(CU11&gt;0,"YOU HAVE NOT USED ALL OF YOUR POINTS YET","")</f>
        <v>YOU HAVE NOT USED ALL OF YOUR POINTS YET</v>
      </c>
      <c r="CW13" s="127"/>
      <c r="CX13" s="127"/>
      <c r="CY13" s="127"/>
      <c r="CZ13" s="20"/>
      <c r="DA13" s="18"/>
      <c r="DD13" s="4"/>
      <c r="DE13" s="4"/>
      <c r="DF13" s="15" t="s">
        <v>67</v>
      </c>
      <c r="DG13" s="15"/>
      <c r="DH13" s="41"/>
      <c r="DI13" s="4"/>
      <c r="DJ13" s="4"/>
      <c r="DK13" s="4"/>
      <c r="DL13" s="4"/>
      <c r="DM13" s="4"/>
      <c r="DN13" s="127" t="str">
        <f>IF(DM11&gt;0,"YOU HAVE NOT USED ALL OF YOUR POINTS YET","")</f>
        <v>YOU HAVE NOT USED ALL OF YOUR POINTS YET</v>
      </c>
      <c r="DO13" s="127"/>
      <c r="DP13" s="127"/>
      <c r="DQ13" s="127"/>
      <c r="DR13" s="21"/>
      <c r="DS13" s="4"/>
      <c r="DW13" s="27"/>
      <c r="DX13" s="56" t="s">
        <v>78</v>
      </c>
      <c r="DY13" s="56"/>
      <c r="DZ13" s="81">
        <f>BX13</f>
        <v>0</v>
      </c>
      <c r="EA13" s="81">
        <f>BX19</f>
        <v>0</v>
      </c>
      <c r="EB13" s="81">
        <f>BX21</f>
        <v>0</v>
      </c>
      <c r="EC13" s="81">
        <f>BX9</f>
        <v>0</v>
      </c>
      <c r="ED13" s="81">
        <f>BX17</f>
        <v>0</v>
      </c>
      <c r="EE13" s="81">
        <f>BX5</f>
        <v>0</v>
      </c>
      <c r="EF13" s="81">
        <f>BX15</f>
        <v>0</v>
      </c>
      <c r="EG13" s="81">
        <f>BX11</f>
        <v>0</v>
      </c>
      <c r="EH13" s="81">
        <f>BX7</f>
        <v>0</v>
      </c>
      <c r="EI13" s="59"/>
      <c r="EJ13" s="61"/>
      <c r="EK13" s="62" t="s">
        <v>86</v>
      </c>
      <c r="EL13" s="63"/>
      <c r="EM13" s="64">
        <f>ED19</f>
        <v>0</v>
      </c>
      <c r="EN13" s="65"/>
      <c r="EO13" s="26"/>
      <c r="EU13" s="54" t="str">
        <f>EK21</f>
        <v>Specialist</v>
      </c>
      <c r="EV13" s="54">
        <f>EM21</f>
        <v>0</v>
      </c>
    </row>
    <row r="14" spans="1:194" ht="4.95" customHeight="1" thickTop="1" thickBot="1" x14ac:dyDescent="0.35">
      <c r="J14" s="4"/>
      <c r="K14" s="4"/>
      <c r="L14" s="4"/>
      <c r="M14" s="4"/>
      <c r="S14" s="4"/>
      <c r="T14" s="15"/>
      <c r="U14" s="15"/>
      <c r="V14" s="2"/>
      <c r="W14" s="4"/>
      <c r="X14" s="4"/>
      <c r="Y14" s="4"/>
      <c r="Z14" s="4"/>
      <c r="AA14" s="4"/>
      <c r="AB14" s="4"/>
      <c r="AC14" s="4"/>
      <c r="AD14" s="4"/>
      <c r="AE14" s="4"/>
      <c r="AF14" s="21"/>
      <c r="AG14" s="4"/>
      <c r="AJ14" s="4"/>
      <c r="AK14" s="4"/>
      <c r="AL14" s="15"/>
      <c r="AM14" s="15"/>
      <c r="AN14" s="2"/>
      <c r="AO14" s="4"/>
      <c r="AP14" s="4"/>
      <c r="AQ14" s="4"/>
      <c r="AR14" s="4"/>
      <c r="AS14" s="4"/>
      <c r="AT14" s="4"/>
      <c r="AU14" s="4"/>
      <c r="AV14" s="4"/>
      <c r="AW14" s="4"/>
      <c r="AX14" s="21"/>
      <c r="AY14" s="4"/>
      <c r="BB14" s="4"/>
      <c r="BC14" s="4"/>
      <c r="BD14" s="15"/>
      <c r="BE14" s="15"/>
      <c r="BF14" s="2"/>
      <c r="BG14" s="4"/>
      <c r="BH14" s="4"/>
      <c r="BI14" s="4"/>
      <c r="BJ14" s="4"/>
      <c r="BK14" s="4"/>
      <c r="BL14" s="4"/>
      <c r="BM14" s="4"/>
      <c r="BN14" s="4"/>
      <c r="BO14" s="4"/>
      <c r="BP14" s="21"/>
      <c r="BQ14" s="4"/>
      <c r="BT14" s="4"/>
      <c r="BU14" s="4"/>
      <c r="BV14" s="15"/>
      <c r="BW14" s="15"/>
      <c r="BX14" s="2"/>
      <c r="BY14" s="4"/>
      <c r="BZ14" s="4"/>
      <c r="CA14" s="4"/>
      <c r="CB14" s="4"/>
      <c r="CC14" s="4"/>
      <c r="CD14" s="4"/>
      <c r="CE14" s="4"/>
      <c r="CF14" s="4"/>
      <c r="CG14" s="4"/>
      <c r="CH14" s="21"/>
      <c r="CI14" s="4"/>
      <c r="CL14" s="4"/>
      <c r="CM14" s="4"/>
      <c r="CN14" s="15"/>
      <c r="CO14" s="15"/>
      <c r="CP14" s="2"/>
      <c r="CQ14" s="4"/>
      <c r="CR14" s="4"/>
      <c r="CS14" s="4"/>
      <c r="CT14" s="4"/>
      <c r="CU14" s="4"/>
      <c r="CV14" s="4"/>
      <c r="CW14" s="4"/>
      <c r="CX14" s="4"/>
      <c r="CY14" s="4"/>
      <c r="CZ14" s="21"/>
      <c r="DA14" s="4"/>
      <c r="DD14" s="4"/>
      <c r="DE14" s="4"/>
      <c r="DF14" s="15"/>
      <c r="DG14" s="15"/>
      <c r="DH14" s="2"/>
      <c r="DI14" s="4"/>
      <c r="DJ14" s="4"/>
      <c r="DK14" s="4"/>
      <c r="DL14" s="4"/>
      <c r="DM14" s="4"/>
      <c r="DN14" s="4"/>
      <c r="DO14" s="4"/>
      <c r="DP14" s="4"/>
      <c r="DQ14" s="4"/>
      <c r="DR14" s="21"/>
      <c r="DS14" s="4"/>
      <c r="DW14" s="27"/>
      <c r="DX14" s="66"/>
      <c r="DY14" s="66"/>
      <c r="DZ14" s="66"/>
      <c r="EA14" s="66"/>
      <c r="EB14" s="66"/>
      <c r="EC14" s="66"/>
      <c r="ED14" s="66"/>
      <c r="EE14" s="66"/>
      <c r="EF14" s="66"/>
      <c r="EG14" s="66"/>
      <c r="EH14" s="66"/>
      <c r="EI14" s="59"/>
      <c r="EJ14" s="58"/>
      <c r="EK14" s="67"/>
      <c r="EL14" s="58"/>
      <c r="EM14" s="64"/>
      <c r="EN14" s="68"/>
      <c r="EO14" s="25"/>
      <c r="GL14" s="17"/>
    </row>
    <row r="15" spans="1:194" s="17" customFormat="1" ht="31.95" customHeight="1" thickTop="1" thickBot="1" x14ac:dyDescent="0.35">
      <c r="B15" s="16" t="s">
        <v>8</v>
      </c>
      <c r="C15" s="16"/>
      <c r="D15" s="41"/>
      <c r="J15" s="124" t="str">
        <f>IF(I11=0,"THANK YOU, YOU MAY CONTINUE","")</f>
        <v/>
      </c>
      <c r="K15" s="124"/>
      <c r="L15" s="124"/>
      <c r="M15" s="124"/>
      <c r="S15" s="18"/>
      <c r="T15" s="19" t="s">
        <v>18</v>
      </c>
      <c r="U15" s="19"/>
      <c r="V15" s="41"/>
      <c r="W15" s="18"/>
      <c r="X15" s="18"/>
      <c r="Y15" s="18"/>
      <c r="Z15" s="18"/>
      <c r="AA15" s="18"/>
      <c r="AB15" s="124" t="str">
        <f>IF(AA11=0,"THANK YOU, YOU MAY CONTINUE","")</f>
        <v/>
      </c>
      <c r="AC15" s="124"/>
      <c r="AD15" s="124"/>
      <c r="AE15" s="124"/>
      <c r="AF15" s="20"/>
      <c r="AG15" s="18"/>
      <c r="AJ15" s="18"/>
      <c r="AK15" s="18"/>
      <c r="AL15" s="19" t="s">
        <v>28</v>
      </c>
      <c r="AM15" s="19"/>
      <c r="AN15" s="41"/>
      <c r="AO15" s="18"/>
      <c r="AP15" s="18"/>
      <c r="AQ15" s="18"/>
      <c r="AR15" s="18"/>
      <c r="AS15" s="18"/>
      <c r="AT15" s="124" t="str">
        <f>IF(AS11=0,"THANK YOU, YOU MAY CONTINUE","")</f>
        <v/>
      </c>
      <c r="AU15" s="124"/>
      <c r="AV15" s="124"/>
      <c r="AW15" s="124"/>
      <c r="AX15" s="20"/>
      <c r="AY15" s="18"/>
      <c r="BB15" s="18"/>
      <c r="BC15" s="18"/>
      <c r="BD15" s="19" t="s">
        <v>38</v>
      </c>
      <c r="BE15" s="19"/>
      <c r="BF15" s="41"/>
      <c r="BG15" s="18"/>
      <c r="BH15" s="18"/>
      <c r="BI15" s="18"/>
      <c r="BJ15" s="18"/>
      <c r="BK15" s="18"/>
      <c r="BL15" s="124" t="str">
        <f>IF(BK11=0,"THANK YOU, YOU MAY CONTINUE","")</f>
        <v/>
      </c>
      <c r="BM15" s="124"/>
      <c r="BN15" s="124"/>
      <c r="BO15" s="124"/>
      <c r="BP15" s="20"/>
      <c r="BQ15" s="18"/>
      <c r="BT15" s="18"/>
      <c r="BU15" s="18"/>
      <c r="BV15" s="19" t="s">
        <v>48</v>
      </c>
      <c r="BW15" s="19"/>
      <c r="BX15" s="41"/>
      <c r="BY15" s="18"/>
      <c r="BZ15" s="18"/>
      <c r="CA15" s="18"/>
      <c r="CB15" s="18"/>
      <c r="CC15" s="18"/>
      <c r="CD15" s="124" t="str">
        <f>IF(CC11=0,"THANK YOU, YOU MAY CONTINUE","")</f>
        <v/>
      </c>
      <c r="CE15" s="124"/>
      <c r="CF15" s="124"/>
      <c r="CG15" s="124"/>
      <c r="CH15" s="20"/>
      <c r="CI15" s="18"/>
      <c r="CL15" s="18"/>
      <c r="CM15" s="18"/>
      <c r="CN15" s="19" t="s">
        <v>58</v>
      </c>
      <c r="CO15" s="19"/>
      <c r="CP15" s="41"/>
      <c r="CQ15" s="18"/>
      <c r="CR15" s="18"/>
      <c r="CS15" s="18"/>
      <c r="CT15" s="18"/>
      <c r="CU15" s="18"/>
      <c r="CV15" s="124" t="str">
        <f>IF(CU11=0,"THANK YOU, YOU MAY CONTINUE","")</f>
        <v/>
      </c>
      <c r="CW15" s="124"/>
      <c r="CX15" s="124"/>
      <c r="CY15" s="124"/>
      <c r="CZ15" s="20"/>
      <c r="DA15" s="18"/>
      <c r="DD15" s="4"/>
      <c r="DE15" s="4"/>
      <c r="DF15" s="15" t="s">
        <v>68</v>
      </c>
      <c r="DG15" s="15"/>
      <c r="DH15" s="41"/>
      <c r="DI15" s="4"/>
      <c r="DJ15" s="4"/>
      <c r="DK15" s="4"/>
      <c r="DL15" s="4"/>
      <c r="DM15" s="4"/>
      <c r="DN15" s="124" t="str">
        <f>IF(DM11=0,"THANK YOU, YOU MAY CONTINUE","")</f>
        <v/>
      </c>
      <c r="DO15" s="124"/>
      <c r="DP15" s="124"/>
      <c r="DQ15" s="124"/>
      <c r="DR15" s="21"/>
      <c r="DS15" s="4"/>
      <c r="DX15" s="56" t="s">
        <v>79</v>
      </c>
      <c r="DY15" s="56"/>
      <c r="DZ15" s="81">
        <f>CP7</f>
        <v>0</v>
      </c>
      <c r="EA15" s="81">
        <f>CP13</f>
        <v>0</v>
      </c>
      <c r="EB15" s="81">
        <f>CP17</f>
        <v>0</v>
      </c>
      <c r="EC15" s="81">
        <f>CP15</f>
        <v>0</v>
      </c>
      <c r="ED15" s="81">
        <f>CP9</f>
        <v>0</v>
      </c>
      <c r="EE15" s="81">
        <f>CP11</f>
        <v>0</v>
      </c>
      <c r="EF15" s="81">
        <f>CP21</f>
        <v>0</v>
      </c>
      <c r="EG15" s="81">
        <f>CP19</f>
        <v>0</v>
      </c>
      <c r="EH15" s="81">
        <f>CP5</f>
        <v>0</v>
      </c>
      <c r="EI15" s="59"/>
      <c r="EJ15" s="61"/>
      <c r="EK15" s="74" t="s">
        <v>87</v>
      </c>
      <c r="EL15" s="75"/>
      <c r="EM15" s="64">
        <f>EE19</f>
        <v>0</v>
      </c>
      <c r="EN15" s="65"/>
      <c r="EO15" s="26"/>
    </row>
    <row r="16" spans="1:194" ht="4.95" customHeight="1" thickTop="1" thickBot="1" x14ac:dyDescent="0.35">
      <c r="J16" s="4"/>
      <c r="K16" s="4"/>
      <c r="L16" s="4"/>
      <c r="M16" s="4"/>
      <c r="S16" s="4"/>
      <c r="T16" s="15"/>
      <c r="U16" s="15"/>
      <c r="V16" s="2"/>
      <c r="W16" s="4"/>
      <c r="X16" s="4"/>
      <c r="Y16" s="4"/>
      <c r="Z16" s="4"/>
      <c r="AA16" s="4"/>
      <c r="AB16" s="4"/>
      <c r="AC16" s="4"/>
      <c r="AD16" s="4"/>
      <c r="AE16" s="4"/>
      <c r="AF16" s="21"/>
      <c r="AG16" s="4"/>
      <c r="AJ16" s="4"/>
      <c r="AK16" s="4"/>
      <c r="AL16" s="15"/>
      <c r="AM16" s="15"/>
      <c r="AN16" s="2"/>
      <c r="AO16" s="4"/>
      <c r="AP16" s="4"/>
      <c r="AQ16" s="4"/>
      <c r="AR16" s="4"/>
      <c r="AS16" s="4"/>
      <c r="AT16" s="4"/>
      <c r="AU16" s="4"/>
      <c r="AV16" s="4"/>
      <c r="AW16" s="4"/>
      <c r="AX16" s="21"/>
      <c r="AY16" s="4"/>
      <c r="BB16" s="4"/>
      <c r="BC16" s="4"/>
      <c r="BD16" s="15"/>
      <c r="BE16" s="15"/>
      <c r="BF16" s="2"/>
      <c r="BG16" s="4"/>
      <c r="BH16" s="4"/>
      <c r="BI16" s="4"/>
      <c r="BJ16" s="4"/>
      <c r="BK16" s="4"/>
      <c r="BL16" s="4"/>
      <c r="BM16" s="4"/>
      <c r="BN16" s="4"/>
      <c r="BO16" s="4"/>
      <c r="BP16" s="21"/>
      <c r="BQ16" s="4"/>
      <c r="BT16" s="4"/>
      <c r="BU16" s="4"/>
      <c r="BV16" s="15"/>
      <c r="BW16" s="15"/>
      <c r="BX16" s="2"/>
      <c r="BY16" s="4"/>
      <c r="BZ16" s="4"/>
      <c r="CA16" s="4"/>
      <c r="CB16" s="4"/>
      <c r="CC16" s="4"/>
      <c r="CD16" s="4"/>
      <c r="CE16" s="4"/>
      <c r="CF16" s="4"/>
      <c r="CG16" s="4"/>
      <c r="CH16" s="21"/>
      <c r="CI16" s="4"/>
      <c r="CL16" s="4"/>
      <c r="CM16" s="4"/>
      <c r="CN16" s="15"/>
      <c r="CO16" s="15"/>
      <c r="CP16" s="2"/>
      <c r="CQ16" s="4"/>
      <c r="CR16" s="4"/>
      <c r="CS16" s="4"/>
      <c r="CT16" s="4"/>
      <c r="CU16" s="4"/>
      <c r="CV16" s="4"/>
      <c r="CW16" s="4"/>
      <c r="CX16" s="4"/>
      <c r="CY16" s="4"/>
      <c r="CZ16" s="21"/>
      <c r="DA16" s="4"/>
      <c r="DD16" s="4"/>
      <c r="DE16" s="4"/>
      <c r="DF16" s="15"/>
      <c r="DG16" s="15"/>
      <c r="DH16" s="2"/>
      <c r="DI16" s="4"/>
      <c r="DJ16" s="4"/>
      <c r="DK16" s="4"/>
      <c r="DL16" s="4"/>
      <c r="DM16" s="4"/>
      <c r="DN16" s="4"/>
      <c r="DO16" s="4"/>
      <c r="DP16" s="4"/>
      <c r="DQ16" s="4"/>
      <c r="DR16" s="21"/>
      <c r="DS16" s="4"/>
      <c r="DX16" s="66"/>
      <c r="DY16" s="66"/>
      <c r="DZ16" s="66"/>
      <c r="EA16" s="66"/>
      <c r="EB16" s="66"/>
      <c r="EC16" s="66"/>
      <c r="ED16" s="66"/>
      <c r="EE16" s="66"/>
      <c r="EF16" s="66"/>
      <c r="EG16" s="66"/>
      <c r="EH16" s="66"/>
      <c r="EI16" s="59"/>
      <c r="EJ16" s="58"/>
      <c r="EK16" s="67"/>
      <c r="EL16" s="58"/>
      <c r="EM16" s="64"/>
      <c r="EN16" s="68"/>
      <c r="EO16" s="25"/>
      <c r="GL16" s="17"/>
    </row>
    <row r="17" spans="2:194" s="17" customFormat="1" ht="31.95" customHeight="1" thickTop="1" thickBot="1" x14ac:dyDescent="0.35">
      <c r="B17" s="16" t="s">
        <v>9</v>
      </c>
      <c r="C17" s="16"/>
      <c r="D17" s="41"/>
      <c r="J17" s="124"/>
      <c r="K17" s="124"/>
      <c r="L17" s="124"/>
      <c r="M17" s="124"/>
      <c r="S17" s="18"/>
      <c r="T17" s="19" t="s">
        <v>19</v>
      </c>
      <c r="U17" s="19"/>
      <c r="V17" s="41"/>
      <c r="W17" s="18"/>
      <c r="X17" s="18"/>
      <c r="Y17" s="18"/>
      <c r="Z17" s="18"/>
      <c r="AA17" s="18"/>
      <c r="AB17" s="124"/>
      <c r="AC17" s="124"/>
      <c r="AD17" s="124"/>
      <c r="AE17" s="124"/>
      <c r="AF17" s="20"/>
      <c r="AG17" s="18"/>
      <c r="AJ17" s="18"/>
      <c r="AK17" s="18"/>
      <c r="AL17" s="19" t="s">
        <v>29</v>
      </c>
      <c r="AM17" s="19"/>
      <c r="AN17" s="41"/>
      <c r="AO17" s="18"/>
      <c r="AP17" s="18"/>
      <c r="AQ17" s="18"/>
      <c r="AR17" s="18"/>
      <c r="AS17" s="18"/>
      <c r="AT17" s="124"/>
      <c r="AU17" s="124"/>
      <c r="AV17" s="124"/>
      <c r="AW17" s="124"/>
      <c r="AX17" s="20"/>
      <c r="AY17" s="18"/>
      <c r="BB17" s="18"/>
      <c r="BC17" s="18"/>
      <c r="BD17" s="19" t="s">
        <v>39</v>
      </c>
      <c r="BE17" s="19"/>
      <c r="BF17" s="41"/>
      <c r="BG17" s="18"/>
      <c r="BH17" s="18"/>
      <c r="BI17" s="18"/>
      <c r="BJ17" s="18"/>
      <c r="BK17" s="18"/>
      <c r="BL17" s="124"/>
      <c r="BM17" s="124"/>
      <c r="BN17" s="124"/>
      <c r="BO17" s="124"/>
      <c r="BP17" s="20"/>
      <c r="BQ17" s="18"/>
      <c r="BT17" s="18"/>
      <c r="BU17" s="18"/>
      <c r="BV17" s="19" t="s">
        <v>49</v>
      </c>
      <c r="BW17" s="19"/>
      <c r="BX17" s="41"/>
      <c r="BY17" s="18"/>
      <c r="BZ17" s="18"/>
      <c r="CA17" s="18"/>
      <c r="CB17" s="18"/>
      <c r="CC17" s="18"/>
      <c r="CD17" s="124"/>
      <c r="CE17" s="124"/>
      <c r="CF17" s="124"/>
      <c r="CG17" s="124"/>
      <c r="CH17" s="20"/>
      <c r="CI17" s="18"/>
      <c r="CL17" s="18"/>
      <c r="CM17" s="18"/>
      <c r="CN17" s="19" t="s">
        <v>59</v>
      </c>
      <c r="CO17" s="19"/>
      <c r="CP17" s="41"/>
      <c r="CQ17" s="18"/>
      <c r="CR17" s="18"/>
      <c r="CS17" s="18"/>
      <c r="CT17" s="18"/>
      <c r="CU17" s="18"/>
      <c r="CV17" s="124"/>
      <c r="CW17" s="124"/>
      <c r="CX17" s="124"/>
      <c r="CY17" s="124"/>
      <c r="CZ17" s="20"/>
      <c r="DA17" s="18"/>
      <c r="DD17" s="4"/>
      <c r="DE17" s="4"/>
      <c r="DF17" s="15" t="s">
        <v>69</v>
      </c>
      <c r="DG17" s="15"/>
      <c r="DH17" s="41"/>
      <c r="DI17" s="4"/>
      <c r="DJ17" s="4"/>
      <c r="DK17" s="4"/>
      <c r="DL17" s="4"/>
      <c r="DM17" s="4"/>
      <c r="DR17" s="21"/>
      <c r="DS17" s="4"/>
      <c r="DX17" s="56" t="s">
        <v>80</v>
      </c>
      <c r="DY17" s="56"/>
      <c r="DZ17" s="81">
        <f>DH19</f>
        <v>0</v>
      </c>
      <c r="EA17" s="81">
        <f>DH11</f>
        <v>0</v>
      </c>
      <c r="EB17" s="81">
        <f>DH5</f>
        <v>0</v>
      </c>
      <c r="EC17" s="81">
        <f>DH21</f>
        <v>0</v>
      </c>
      <c r="ED17" s="81">
        <f>DH13</f>
        <v>0</v>
      </c>
      <c r="EE17" s="81">
        <f>DH17</f>
        <v>0</v>
      </c>
      <c r="EF17" s="81">
        <f>DH7</f>
        <v>0</v>
      </c>
      <c r="EG17" s="81">
        <f>DH15</f>
        <v>0</v>
      </c>
      <c r="EH17" s="81">
        <f>DH9</f>
        <v>0</v>
      </c>
      <c r="EI17" s="59"/>
      <c r="EJ17" s="61"/>
      <c r="EK17" s="62" t="s">
        <v>88</v>
      </c>
      <c r="EL17" s="63"/>
      <c r="EM17" s="64">
        <f>EF19</f>
        <v>0</v>
      </c>
      <c r="EN17" s="65"/>
      <c r="EO17" s="26"/>
    </row>
    <row r="18" spans="2:194" ht="4.95" customHeight="1" thickTop="1" thickBot="1" x14ac:dyDescent="0.35">
      <c r="S18" s="4"/>
      <c r="T18" s="15"/>
      <c r="U18" s="15"/>
      <c r="V18" s="2"/>
      <c r="W18" s="4"/>
      <c r="X18" s="4"/>
      <c r="Y18" s="4"/>
      <c r="Z18" s="4"/>
      <c r="AA18" s="4"/>
      <c r="AB18" s="4"/>
      <c r="AC18" s="4"/>
      <c r="AD18" s="4"/>
      <c r="AE18" s="4"/>
      <c r="AF18" s="4"/>
      <c r="AG18" s="4"/>
      <c r="AJ18" s="4"/>
      <c r="AK18" s="4"/>
      <c r="AL18" s="15"/>
      <c r="AM18" s="15"/>
      <c r="AN18" s="2"/>
      <c r="AO18" s="4"/>
      <c r="AP18" s="4"/>
      <c r="AQ18" s="4"/>
      <c r="AR18" s="4"/>
      <c r="AS18" s="4"/>
      <c r="AT18" s="4"/>
      <c r="AU18" s="4"/>
      <c r="AV18" s="4"/>
      <c r="AW18" s="4"/>
      <c r="AX18" s="4"/>
      <c r="AY18" s="4"/>
      <c r="BB18" s="4"/>
      <c r="BC18" s="4"/>
      <c r="BD18" s="15"/>
      <c r="BE18" s="15"/>
      <c r="BF18" s="2"/>
      <c r="BG18" s="4"/>
      <c r="BH18" s="4"/>
      <c r="BI18" s="4"/>
      <c r="BJ18" s="4"/>
      <c r="BK18" s="4"/>
      <c r="BL18" s="4"/>
      <c r="BM18" s="4"/>
      <c r="BN18" s="4"/>
      <c r="BO18" s="4"/>
      <c r="BP18" s="4"/>
      <c r="BQ18" s="4"/>
      <c r="BT18" s="4"/>
      <c r="BU18" s="4"/>
      <c r="BV18" s="15"/>
      <c r="BW18" s="15"/>
      <c r="BX18" s="2"/>
      <c r="BY18" s="4"/>
      <c r="BZ18" s="4"/>
      <c r="CA18" s="4"/>
      <c r="CB18" s="4"/>
      <c r="CC18" s="4"/>
      <c r="CD18" s="4"/>
      <c r="CE18" s="4"/>
      <c r="CF18" s="4"/>
      <c r="CG18" s="4"/>
      <c r="CH18" s="4"/>
      <c r="CI18" s="4"/>
      <c r="CL18" s="4"/>
      <c r="CM18" s="4"/>
      <c r="CN18" s="15"/>
      <c r="CO18" s="15"/>
      <c r="CP18" s="2"/>
      <c r="CQ18" s="4"/>
      <c r="CR18" s="4"/>
      <c r="CS18" s="4"/>
      <c r="CT18" s="4"/>
      <c r="CU18" s="4"/>
      <c r="CV18" s="4"/>
      <c r="CW18" s="4"/>
      <c r="CX18" s="4"/>
      <c r="CY18" s="4"/>
      <c r="CZ18" s="4"/>
      <c r="DA18" s="4"/>
      <c r="DD18" s="4"/>
      <c r="DE18" s="4"/>
      <c r="DF18" s="15"/>
      <c r="DG18" s="15"/>
      <c r="DH18" s="2"/>
      <c r="DI18" s="4"/>
      <c r="DJ18" s="4"/>
      <c r="DK18" s="4"/>
      <c r="DL18" s="4"/>
      <c r="DM18" s="4"/>
      <c r="DN18" s="4"/>
      <c r="DO18" s="4"/>
      <c r="DP18" s="4"/>
      <c r="DQ18" s="4"/>
      <c r="DR18" s="4"/>
      <c r="DS18" s="4"/>
      <c r="DX18" s="66"/>
      <c r="DY18" s="56"/>
      <c r="DZ18" s="66"/>
      <c r="EA18" s="66"/>
      <c r="EB18" s="66"/>
      <c r="EC18" s="66"/>
      <c r="ED18" s="66"/>
      <c r="EE18" s="66"/>
      <c r="EF18" s="66"/>
      <c r="EG18" s="66"/>
      <c r="EH18" s="66"/>
      <c r="EI18" s="59"/>
      <c r="EJ18" s="58"/>
      <c r="EK18" s="67"/>
      <c r="EL18" s="58"/>
      <c r="EM18" s="64"/>
      <c r="EN18" s="68"/>
      <c r="EO18" s="25"/>
      <c r="GL18" s="17"/>
    </row>
    <row r="19" spans="2:194" s="17" customFormat="1" ht="31.95" customHeight="1" thickTop="1" thickBot="1" x14ac:dyDescent="0.35">
      <c r="B19" s="16" t="s">
        <v>10</v>
      </c>
      <c r="C19" s="16"/>
      <c r="D19" s="41"/>
      <c r="S19" s="18"/>
      <c r="T19" s="19" t="s">
        <v>20</v>
      </c>
      <c r="U19" s="19"/>
      <c r="V19" s="41"/>
      <c r="W19" s="18"/>
      <c r="X19" s="18"/>
      <c r="Y19" s="18"/>
      <c r="Z19" s="18"/>
      <c r="AA19" s="18"/>
      <c r="AB19" s="18"/>
      <c r="AC19" s="18"/>
      <c r="AD19" s="18"/>
      <c r="AE19" s="18"/>
      <c r="AF19" s="18"/>
      <c r="AG19" s="18"/>
      <c r="AJ19" s="18"/>
      <c r="AK19" s="18"/>
      <c r="AL19" s="19" t="s">
        <v>30</v>
      </c>
      <c r="AM19" s="19"/>
      <c r="AN19" s="41"/>
      <c r="AO19" s="18"/>
      <c r="AP19" s="18"/>
      <c r="AQ19" s="18"/>
      <c r="AR19" s="18"/>
      <c r="AS19" s="18"/>
      <c r="AT19" s="18"/>
      <c r="AU19" s="18"/>
      <c r="AV19" s="18"/>
      <c r="AW19" s="18"/>
      <c r="AX19" s="18"/>
      <c r="AY19" s="18"/>
      <c r="BB19" s="18"/>
      <c r="BC19" s="18"/>
      <c r="BD19" s="19" t="s">
        <v>40</v>
      </c>
      <c r="BE19" s="19"/>
      <c r="BF19" s="41"/>
      <c r="BG19" s="18"/>
      <c r="BH19" s="18"/>
      <c r="BI19" s="18"/>
      <c r="BJ19" s="18"/>
      <c r="BK19" s="18"/>
      <c r="BL19" s="18"/>
      <c r="BM19" s="18"/>
      <c r="BN19" s="18"/>
      <c r="BO19" s="18"/>
      <c r="BP19" s="18"/>
      <c r="BQ19" s="18"/>
      <c r="BT19" s="18"/>
      <c r="BU19" s="18"/>
      <c r="BV19" s="19" t="s">
        <v>50</v>
      </c>
      <c r="BW19" s="19"/>
      <c r="BX19" s="41"/>
      <c r="BY19" s="18"/>
      <c r="BZ19" s="18"/>
      <c r="CA19" s="18"/>
      <c r="CB19" s="18"/>
      <c r="CC19" s="18"/>
      <c r="CD19" s="18"/>
      <c r="CE19" s="18"/>
      <c r="CF19" s="18"/>
      <c r="CG19" s="18"/>
      <c r="CH19" s="18"/>
      <c r="CI19" s="18"/>
      <c r="CL19" s="18"/>
      <c r="CM19" s="18"/>
      <c r="CN19" s="19" t="s">
        <v>60</v>
      </c>
      <c r="CO19" s="19"/>
      <c r="CP19" s="41"/>
      <c r="CQ19" s="18"/>
      <c r="CR19" s="18"/>
      <c r="CS19" s="18"/>
      <c r="CT19" s="18"/>
      <c r="CU19" s="18"/>
      <c r="CV19" s="18"/>
      <c r="CW19" s="18"/>
      <c r="CX19" s="18"/>
      <c r="CY19" s="18"/>
      <c r="CZ19" s="18"/>
      <c r="DA19" s="18"/>
      <c r="DD19" s="4"/>
      <c r="DE19" s="4"/>
      <c r="DF19" s="15" t="s">
        <v>70</v>
      </c>
      <c r="DG19" s="15"/>
      <c r="DH19" s="41"/>
      <c r="DI19" s="4"/>
      <c r="DJ19" s="4"/>
      <c r="DK19" s="4"/>
      <c r="DL19" s="4"/>
      <c r="DM19" s="4"/>
      <c r="DN19" s="4"/>
      <c r="DO19" s="4"/>
      <c r="DP19" s="4"/>
      <c r="DQ19" s="4"/>
      <c r="DR19" s="4"/>
      <c r="DS19" s="4"/>
      <c r="DX19" s="76" t="s">
        <v>73</v>
      </c>
      <c r="DY19" s="77"/>
      <c r="DZ19" s="78">
        <f t="shared" ref="DZ19:EH19" si="0">SUM(DZ5:DZ17)</f>
        <v>0</v>
      </c>
      <c r="EA19" s="78">
        <f t="shared" si="0"/>
        <v>0</v>
      </c>
      <c r="EB19" s="78">
        <f t="shared" si="0"/>
        <v>0</v>
      </c>
      <c r="EC19" s="78">
        <f t="shared" si="0"/>
        <v>0</v>
      </c>
      <c r="ED19" s="78">
        <f t="shared" si="0"/>
        <v>0</v>
      </c>
      <c r="EE19" s="78">
        <f t="shared" si="0"/>
        <v>0</v>
      </c>
      <c r="EF19" s="78">
        <f t="shared" si="0"/>
        <v>0</v>
      </c>
      <c r="EG19" s="78">
        <f t="shared" si="0"/>
        <v>0</v>
      </c>
      <c r="EH19" s="79">
        <f t="shared" si="0"/>
        <v>0</v>
      </c>
      <c r="EI19" s="69" t="str">
        <f>IF(SUM(DZ19:EH19)=70,"OK","Checksum NOK")</f>
        <v>Checksum NOK</v>
      </c>
      <c r="EJ19" s="61"/>
      <c r="EK19" s="74" t="s">
        <v>89</v>
      </c>
      <c r="EL19" s="75"/>
      <c r="EM19" s="64">
        <f>EG19</f>
        <v>0</v>
      </c>
      <c r="EN19" s="65"/>
      <c r="EO19" s="26"/>
    </row>
    <row r="20" spans="2:194" ht="4.95" customHeight="1" thickTop="1" thickBot="1" x14ac:dyDescent="0.35">
      <c r="S20" s="4"/>
      <c r="T20" s="15"/>
      <c r="U20" s="15"/>
      <c r="V20" s="2"/>
      <c r="W20" s="4"/>
      <c r="X20" s="4"/>
      <c r="Y20" s="4"/>
      <c r="Z20" s="4"/>
      <c r="AA20" s="4"/>
      <c r="AB20" s="4"/>
      <c r="AC20" s="4"/>
      <c r="AD20" s="4"/>
      <c r="AE20" s="4"/>
      <c r="AF20" s="4"/>
      <c r="AG20" s="4"/>
      <c r="AJ20" s="4"/>
      <c r="AK20" s="4"/>
      <c r="AL20" s="15"/>
      <c r="AM20" s="15"/>
      <c r="AN20" s="2"/>
      <c r="AO20" s="4"/>
      <c r="AP20" s="4"/>
      <c r="AQ20" s="4"/>
      <c r="AR20" s="4"/>
      <c r="AS20" s="4"/>
      <c r="AT20" s="4"/>
      <c r="AU20" s="4"/>
      <c r="AV20" s="4"/>
      <c r="AW20" s="4"/>
      <c r="AX20" s="4"/>
      <c r="AY20" s="4"/>
      <c r="BB20" s="4"/>
      <c r="BC20" s="4"/>
      <c r="BD20" s="15"/>
      <c r="BE20" s="15"/>
      <c r="BF20" s="2"/>
      <c r="BG20" s="4"/>
      <c r="BH20" s="4"/>
      <c r="BI20" s="4"/>
      <c r="BJ20" s="4"/>
      <c r="BK20" s="4"/>
      <c r="BL20" s="4"/>
      <c r="BM20" s="4"/>
      <c r="BN20" s="4"/>
      <c r="BO20" s="4"/>
      <c r="BP20" s="4"/>
      <c r="BQ20" s="4"/>
      <c r="BT20" s="4"/>
      <c r="BU20" s="4"/>
      <c r="BV20" s="15"/>
      <c r="BW20" s="15"/>
      <c r="BX20" s="2"/>
      <c r="BY20" s="4"/>
      <c r="BZ20" s="4"/>
      <c r="CA20" s="4"/>
      <c r="CB20" s="4"/>
      <c r="CC20" s="4"/>
      <c r="CD20" s="4"/>
      <c r="CE20" s="4"/>
      <c r="CF20" s="4"/>
      <c r="CG20" s="4"/>
      <c r="CH20" s="4"/>
      <c r="CI20" s="4"/>
      <c r="CL20" s="4"/>
      <c r="CM20" s="4"/>
      <c r="CN20" s="15"/>
      <c r="CO20" s="15"/>
      <c r="CP20" s="2"/>
      <c r="CQ20" s="4"/>
      <c r="CR20" s="4"/>
      <c r="CS20" s="4"/>
      <c r="CT20" s="4"/>
      <c r="CU20" s="4"/>
      <c r="CV20" s="4"/>
      <c r="CW20" s="4"/>
      <c r="CX20" s="4"/>
      <c r="CY20" s="4"/>
      <c r="CZ20" s="4"/>
      <c r="DA20" s="4"/>
      <c r="DD20" s="4"/>
      <c r="DE20" s="4"/>
      <c r="DF20" s="15"/>
      <c r="DG20" s="15"/>
      <c r="DH20" s="2"/>
      <c r="DI20" s="4"/>
      <c r="DJ20" s="4"/>
      <c r="DK20" s="4"/>
      <c r="DL20" s="4"/>
      <c r="DM20" s="4"/>
      <c r="DN20" s="4"/>
      <c r="DO20" s="4"/>
      <c r="DP20" s="4"/>
      <c r="DQ20" s="4"/>
      <c r="DR20" s="4"/>
      <c r="DS20" s="4"/>
      <c r="DX20" s="58"/>
      <c r="DY20" s="58"/>
      <c r="DZ20" s="58"/>
      <c r="EA20" s="58"/>
      <c r="EB20" s="70"/>
      <c r="EC20" s="70"/>
      <c r="ED20" s="70"/>
      <c r="EE20" s="70"/>
      <c r="EF20" s="70"/>
      <c r="EG20" s="70"/>
      <c r="EH20" s="70"/>
      <c r="EI20" s="59"/>
      <c r="EJ20" s="58"/>
      <c r="EK20" s="67"/>
      <c r="EL20" s="58"/>
      <c r="EM20" s="64"/>
      <c r="EN20" s="68"/>
      <c r="EO20" s="25"/>
      <c r="GL20" s="17"/>
    </row>
    <row r="21" spans="2:194" s="17" customFormat="1" ht="31.95" customHeight="1" thickTop="1" thickBot="1" x14ac:dyDescent="0.35">
      <c r="B21" s="16" t="s">
        <v>11</v>
      </c>
      <c r="C21" s="16"/>
      <c r="D21" s="41"/>
      <c r="S21" s="18"/>
      <c r="T21" s="19" t="s">
        <v>21</v>
      </c>
      <c r="U21" s="19"/>
      <c r="V21" s="41"/>
      <c r="W21" s="18"/>
      <c r="X21" s="18"/>
      <c r="Y21" s="18"/>
      <c r="Z21" s="18"/>
      <c r="AA21" s="18"/>
      <c r="AB21" s="18"/>
      <c r="AC21" s="18"/>
      <c r="AD21" s="18"/>
      <c r="AE21" s="18"/>
      <c r="AF21" s="18"/>
      <c r="AG21" s="18"/>
      <c r="AJ21" s="18"/>
      <c r="AK21" s="18"/>
      <c r="AL21" s="19" t="s">
        <v>31</v>
      </c>
      <c r="AM21" s="19"/>
      <c r="AN21" s="41"/>
      <c r="AO21" s="18"/>
      <c r="AP21" s="18"/>
      <c r="AQ21" s="18"/>
      <c r="AR21" s="18"/>
      <c r="AS21" s="18"/>
      <c r="AT21" s="18"/>
      <c r="AU21" s="18"/>
      <c r="AV21" s="18"/>
      <c r="AW21" s="18"/>
      <c r="AX21" s="18"/>
      <c r="AY21" s="18"/>
      <c r="BB21" s="18"/>
      <c r="BC21" s="18"/>
      <c r="BD21" s="19" t="s">
        <v>41</v>
      </c>
      <c r="BE21" s="19"/>
      <c r="BF21" s="41"/>
      <c r="BG21" s="18"/>
      <c r="BH21" s="18"/>
      <c r="BI21" s="18"/>
      <c r="BJ21" s="18"/>
      <c r="BK21" s="18"/>
      <c r="BL21" s="18"/>
      <c r="BM21" s="18"/>
      <c r="BN21" s="18"/>
      <c r="BO21" s="18"/>
      <c r="BP21" s="18"/>
      <c r="BQ21" s="18"/>
      <c r="BT21" s="18"/>
      <c r="BU21" s="18"/>
      <c r="BV21" s="19" t="s">
        <v>51</v>
      </c>
      <c r="BW21" s="19"/>
      <c r="BX21" s="41"/>
      <c r="BY21" s="18"/>
      <c r="BZ21" s="18"/>
      <c r="CA21" s="18"/>
      <c r="CB21" s="18"/>
      <c r="CC21" s="18"/>
      <c r="CD21" s="18"/>
      <c r="CE21" s="18"/>
      <c r="CF21" s="18"/>
      <c r="CG21" s="18"/>
      <c r="CH21" s="18"/>
      <c r="CI21" s="18"/>
      <c r="CL21" s="18"/>
      <c r="CM21" s="18"/>
      <c r="CN21" s="19" t="s">
        <v>61</v>
      </c>
      <c r="CO21" s="19"/>
      <c r="CP21" s="41"/>
      <c r="CQ21" s="18"/>
      <c r="CR21" s="18"/>
      <c r="CS21" s="18"/>
      <c r="CT21" s="18"/>
      <c r="CU21" s="18"/>
      <c r="CV21" s="18"/>
      <c r="CW21" s="18"/>
      <c r="CX21" s="18"/>
      <c r="CY21" s="18"/>
      <c r="CZ21" s="18"/>
      <c r="DA21" s="18"/>
      <c r="DD21" s="4"/>
      <c r="DE21" s="4"/>
      <c r="DF21" s="15" t="s">
        <v>71</v>
      </c>
      <c r="DG21" s="15"/>
      <c r="DH21" s="41"/>
      <c r="DI21" s="4"/>
      <c r="DJ21" s="4"/>
      <c r="DK21" s="4"/>
      <c r="DL21" s="4"/>
      <c r="DM21" s="4"/>
      <c r="DN21" s="4"/>
      <c r="DO21" s="4"/>
      <c r="DP21" s="4"/>
      <c r="DQ21" s="4"/>
      <c r="DR21" s="4"/>
      <c r="DS21" s="4"/>
      <c r="DX21" s="56" t="s">
        <v>91</v>
      </c>
      <c r="DY21" s="55"/>
      <c r="DZ21" s="55"/>
      <c r="EA21" s="55"/>
      <c r="EB21" s="70"/>
      <c r="EC21" s="70"/>
      <c r="ED21" s="70"/>
      <c r="EE21" s="70"/>
      <c r="EF21" s="70"/>
      <c r="EG21" s="70"/>
      <c r="EH21" s="70"/>
      <c r="EI21" s="59"/>
      <c r="EJ21" s="61"/>
      <c r="EK21" s="62" t="s">
        <v>90</v>
      </c>
      <c r="EL21" s="63"/>
      <c r="EM21" s="64">
        <f>EH19</f>
        <v>0</v>
      </c>
      <c r="EN21" s="65"/>
      <c r="EO21" s="26"/>
    </row>
    <row r="22" spans="2:194" ht="4.95" customHeight="1" thickTop="1" x14ac:dyDescent="0.3">
      <c r="D22" s="42"/>
      <c r="V22" s="42"/>
      <c r="AJ22" s="4"/>
      <c r="AK22" s="4"/>
      <c r="AL22" s="5"/>
      <c r="AM22" s="5"/>
      <c r="AN22" s="42"/>
      <c r="AO22" s="4"/>
      <c r="AP22" s="4"/>
      <c r="AQ22" s="4"/>
      <c r="AR22" s="4"/>
      <c r="AS22" s="4"/>
      <c r="AT22" s="4"/>
      <c r="AU22" s="4"/>
      <c r="AV22" s="4"/>
      <c r="AW22" s="4"/>
      <c r="AX22" s="4"/>
      <c r="AY22" s="4"/>
      <c r="BB22" s="4"/>
      <c r="BC22" s="4"/>
      <c r="BD22" s="5"/>
      <c r="BE22" s="5"/>
      <c r="BF22" s="42"/>
      <c r="BG22" s="4"/>
      <c r="BH22" s="4"/>
      <c r="BI22" s="4"/>
      <c r="BJ22" s="4"/>
      <c r="BK22" s="4"/>
      <c r="BL22" s="4"/>
      <c r="BM22" s="4"/>
      <c r="BN22" s="4"/>
      <c r="BO22" s="4"/>
      <c r="BP22" s="4"/>
      <c r="BQ22" s="4"/>
      <c r="BT22" s="4"/>
      <c r="BU22" s="4"/>
      <c r="BV22" s="5"/>
      <c r="BW22" s="5"/>
      <c r="BX22" s="42"/>
      <c r="BY22" s="4"/>
      <c r="BZ22" s="4"/>
      <c r="CA22" s="4"/>
      <c r="CB22" s="4"/>
      <c r="CC22" s="4"/>
      <c r="CD22" s="4"/>
      <c r="CE22" s="4"/>
      <c r="CF22" s="4"/>
      <c r="CG22" s="4"/>
      <c r="CH22" s="4"/>
      <c r="CI22" s="4"/>
      <c r="CL22" s="4"/>
      <c r="CM22" s="4"/>
      <c r="CN22" s="15"/>
      <c r="CO22" s="15"/>
      <c r="CP22" s="42"/>
      <c r="CQ22" s="4"/>
      <c r="CR22" s="4"/>
      <c r="CS22" s="4"/>
      <c r="CT22" s="4"/>
      <c r="CU22" s="4"/>
      <c r="CV22" s="4"/>
      <c r="CW22" s="4"/>
      <c r="CX22" s="4"/>
      <c r="CY22" s="4"/>
      <c r="CZ22" s="4"/>
      <c r="DA22" s="4"/>
      <c r="DD22" s="4"/>
      <c r="DE22" s="4"/>
      <c r="DF22" s="5"/>
      <c r="DG22" s="5"/>
      <c r="DH22" s="42"/>
      <c r="DI22" s="4"/>
      <c r="DJ22" s="4"/>
      <c r="DK22" s="4"/>
      <c r="DL22" s="4"/>
      <c r="DM22" s="4"/>
      <c r="DN22" s="4"/>
      <c r="DO22" s="4"/>
      <c r="DP22" s="4"/>
      <c r="DQ22" s="4"/>
      <c r="DR22" s="4"/>
      <c r="DS22" s="4"/>
      <c r="DX22" s="58"/>
      <c r="DY22" s="58"/>
      <c r="DZ22" s="58"/>
      <c r="EA22" s="70"/>
      <c r="EB22" s="70"/>
      <c r="EC22" s="70"/>
      <c r="ED22" s="70"/>
      <c r="EE22" s="70"/>
      <c r="EF22" s="70"/>
      <c r="EG22" s="70"/>
      <c r="EH22" s="70"/>
      <c r="EI22" s="59"/>
      <c r="EJ22" s="55"/>
      <c r="EK22" s="55"/>
      <c r="EL22" s="55"/>
      <c r="EM22" s="55"/>
      <c r="EN22" s="55"/>
      <c r="GL22" s="17"/>
    </row>
    <row r="23" spans="2:194" ht="12.75" customHeight="1" x14ac:dyDescent="0.3">
      <c r="F23" s="122"/>
      <c r="G23" s="122"/>
      <c r="H23" s="122"/>
      <c r="I23" s="122"/>
      <c r="J23" s="122"/>
      <c r="K23" s="122"/>
      <c r="L23" s="122"/>
      <c r="M23" s="122"/>
      <c r="N23" s="122"/>
      <c r="DX23" s="58"/>
      <c r="DY23" s="58"/>
      <c r="DZ23" s="58"/>
      <c r="EA23" s="71"/>
      <c r="EB23" s="70"/>
      <c r="EC23" s="70"/>
      <c r="ED23" s="70"/>
      <c r="EE23" s="70"/>
      <c r="EF23" s="70"/>
      <c r="EG23" s="70"/>
      <c r="EH23" s="70"/>
      <c r="EI23" s="59"/>
      <c r="EJ23" s="58"/>
      <c r="EK23" s="58"/>
      <c r="EL23" s="58"/>
      <c r="EM23" s="58"/>
      <c r="EN23" s="58"/>
      <c r="GL23" s="17"/>
    </row>
    <row r="24" spans="2:194" s="17" customFormat="1" ht="19.95" customHeight="1" x14ac:dyDescent="0.3">
      <c r="B24" s="16"/>
      <c r="C24" s="16"/>
      <c r="D24" s="2"/>
      <c r="F24" s="122"/>
      <c r="G24" s="122"/>
      <c r="H24" s="122"/>
      <c r="I24" s="122"/>
      <c r="J24" s="122"/>
      <c r="K24" s="122"/>
      <c r="L24" s="122"/>
      <c r="M24" s="122"/>
      <c r="N24" s="122"/>
      <c r="DX24" s="55"/>
      <c r="DY24" s="55"/>
      <c r="DZ24" s="55"/>
      <c r="EA24" s="55"/>
      <c r="EB24" s="72"/>
      <c r="EC24" s="72"/>
      <c r="ED24" s="72"/>
      <c r="EE24" s="72"/>
      <c r="EF24" s="72"/>
      <c r="EG24" s="72"/>
      <c r="EH24" s="72"/>
      <c r="EI24" s="62"/>
      <c r="EJ24" s="55"/>
      <c r="EK24" s="55"/>
      <c r="EL24" s="55"/>
      <c r="EM24" s="55"/>
      <c r="EN24" s="55"/>
    </row>
    <row r="25" spans="2:194" s="17" customFormat="1" ht="19.95" customHeight="1" x14ac:dyDescent="0.3">
      <c r="B25" s="16"/>
      <c r="C25" s="16"/>
      <c r="D25" s="2"/>
      <c r="F25" s="122"/>
      <c r="G25" s="122"/>
      <c r="H25" s="122"/>
      <c r="I25" s="122"/>
      <c r="J25" s="122"/>
      <c r="K25" s="122"/>
      <c r="L25" s="122"/>
      <c r="M25" s="122"/>
      <c r="N25" s="122"/>
      <c r="DX25" s="55"/>
      <c r="DY25" s="55"/>
      <c r="DZ25" s="55"/>
      <c r="EA25" s="55"/>
      <c r="EB25" s="72"/>
      <c r="EC25" s="72"/>
      <c r="ED25" s="72"/>
      <c r="EE25" s="72"/>
      <c r="EF25" s="72"/>
      <c r="EG25" s="72"/>
      <c r="EH25" s="72"/>
      <c r="EI25" s="62"/>
      <c r="EJ25" s="55"/>
      <c r="EK25" s="55"/>
      <c r="EL25" s="55"/>
      <c r="EM25" s="55"/>
      <c r="EN25" s="55"/>
    </row>
    <row r="26" spans="2:194" s="17" customFormat="1" ht="19.95" customHeight="1" x14ac:dyDescent="0.3">
      <c r="B26" s="16"/>
      <c r="C26" s="16"/>
      <c r="D26" s="2"/>
      <c r="DX26" s="55"/>
      <c r="DY26" s="55"/>
      <c r="DZ26" s="55"/>
      <c r="EA26" s="55"/>
      <c r="EB26" s="55"/>
      <c r="EC26" s="55"/>
      <c r="ED26" s="55"/>
      <c r="EE26" s="55"/>
      <c r="EF26" s="55"/>
      <c r="EG26" s="55"/>
      <c r="EH26" s="55"/>
      <c r="EI26" s="55"/>
      <c r="EJ26" s="55"/>
      <c r="EK26" s="55"/>
      <c r="EL26" s="55"/>
      <c r="EM26" s="55"/>
      <c r="EN26" s="55"/>
    </row>
    <row r="27" spans="2:194" s="17" customFormat="1" ht="19.95" customHeight="1" x14ac:dyDescent="0.3">
      <c r="B27" s="16"/>
      <c r="C27" s="16"/>
      <c r="D27" s="2"/>
      <c r="DX27" s="55"/>
      <c r="DY27" s="55"/>
      <c r="DZ27" s="55"/>
      <c r="EA27" s="55"/>
      <c r="EB27" s="55"/>
      <c r="EC27" s="55"/>
      <c r="ED27" s="55"/>
      <c r="EE27" s="55"/>
      <c r="EF27" s="55"/>
      <c r="EG27" s="55"/>
      <c r="EH27" s="55"/>
      <c r="EI27" s="55"/>
      <c r="EJ27" s="55"/>
      <c r="EK27" s="55"/>
      <c r="EL27" s="55"/>
      <c r="EM27" s="55"/>
      <c r="EN27" s="55"/>
    </row>
    <row r="28" spans="2:194" s="17" customFormat="1" ht="19.95" customHeight="1" x14ac:dyDescent="0.3">
      <c r="B28" s="16"/>
      <c r="C28" s="16"/>
      <c r="D28" s="2"/>
      <c r="DX28" s="55"/>
      <c r="DY28" s="55"/>
      <c r="DZ28" s="55"/>
      <c r="EA28" s="55"/>
      <c r="EB28" s="55"/>
      <c r="EC28" s="55"/>
      <c r="ED28" s="55"/>
      <c r="EE28" s="55"/>
      <c r="EF28" s="55"/>
      <c r="EG28" s="55"/>
      <c r="EH28" s="55"/>
      <c r="EI28" s="55"/>
      <c r="EJ28" s="55"/>
      <c r="EK28" s="55"/>
      <c r="EL28" s="55"/>
      <c r="EM28" s="55"/>
      <c r="EN28" s="55"/>
    </row>
    <row r="29" spans="2:194" s="17" customFormat="1" ht="19.95" customHeight="1" x14ac:dyDescent="0.3">
      <c r="B29" s="16"/>
      <c r="C29" s="16"/>
      <c r="D29" s="2"/>
      <c r="P29" s="18"/>
      <c r="Q29" s="18"/>
      <c r="R29" s="18"/>
      <c r="S29" s="18"/>
      <c r="DX29" s="55"/>
      <c r="DY29" s="55"/>
      <c r="DZ29" s="55"/>
      <c r="EA29" s="55"/>
      <c r="EB29" s="55"/>
      <c r="EC29" s="55"/>
      <c r="ED29" s="55"/>
      <c r="EE29" s="55"/>
      <c r="EF29" s="55"/>
      <c r="EG29" s="55"/>
      <c r="EH29" s="55"/>
      <c r="EI29" s="55"/>
      <c r="EJ29" s="55"/>
      <c r="EK29" s="55"/>
      <c r="EL29" s="55"/>
      <c r="EM29" s="55"/>
      <c r="EN29" s="55"/>
    </row>
    <row r="30" spans="2:194" s="17" customFormat="1" ht="19.95" customHeight="1" x14ac:dyDescent="0.3">
      <c r="B30" s="16"/>
      <c r="C30" s="16"/>
      <c r="D30" s="2"/>
      <c r="P30" s="10"/>
      <c r="Q30" s="10"/>
      <c r="R30" s="10"/>
      <c r="S30" s="10"/>
      <c r="DX30" s="55"/>
      <c r="DY30" s="55"/>
      <c r="DZ30" s="55"/>
      <c r="EA30" s="55"/>
      <c r="EB30" s="55"/>
      <c r="EC30" s="55"/>
      <c r="ED30" s="55"/>
      <c r="EE30" s="55"/>
      <c r="EF30" s="55"/>
      <c r="EG30" s="55"/>
      <c r="EH30" s="55"/>
      <c r="EI30" s="55"/>
      <c r="EJ30" s="55"/>
      <c r="EK30" s="55"/>
      <c r="EL30" s="55"/>
      <c r="EM30" s="55"/>
      <c r="EN30" s="55"/>
    </row>
    <row r="31" spans="2:194" s="17" customFormat="1" ht="19.95" customHeight="1" x14ac:dyDescent="0.3">
      <c r="B31" s="16"/>
      <c r="C31" s="16"/>
      <c r="D31" s="2"/>
      <c r="P31" s="18"/>
      <c r="Q31" s="18"/>
      <c r="R31" s="18"/>
      <c r="S31" s="18"/>
      <c r="DX31" s="55"/>
      <c r="DY31" s="55"/>
      <c r="DZ31" s="55"/>
      <c r="EA31" s="55"/>
      <c r="EB31" s="55"/>
      <c r="EC31" s="55"/>
      <c r="ED31" s="55"/>
      <c r="EE31" s="55"/>
      <c r="EF31" s="55"/>
      <c r="EG31" s="55"/>
      <c r="EH31" s="55"/>
      <c r="EI31" s="55"/>
      <c r="EJ31" s="55"/>
      <c r="EK31" s="55"/>
      <c r="EL31" s="55"/>
      <c r="EM31" s="55"/>
      <c r="EN31" s="55"/>
    </row>
    <row r="32" spans="2:194" s="17" customFormat="1" ht="19.95" customHeight="1" x14ac:dyDescent="0.3">
      <c r="B32" s="16"/>
      <c r="C32" s="16"/>
      <c r="D32" s="2"/>
      <c r="P32" s="18"/>
      <c r="Q32" s="18"/>
      <c r="R32" s="18"/>
      <c r="S32" s="18"/>
      <c r="DX32" s="55"/>
      <c r="DY32" s="55"/>
      <c r="DZ32" s="55"/>
      <c r="EA32" s="55"/>
      <c r="EB32" s="55"/>
      <c r="EC32" s="55"/>
      <c r="ED32" s="55"/>
      <c r="EE32" s="55"/>
      <c r="EF32" s="55"/>
      <c r="EG32" s="55"/>
      <c r="EH32" s="55"/>
      <c r="EI32" s="55"/>
      <c r="EJ32" s="55"/>
      <c r="EK32" s="55"/>
      <c r="EL32" s="55"/>
      <c r="EM32" s="55"/>
      <c r="EN32" s="55"/>
    </row>
    <row r="33" spans="16:144" x14ac:dyDescent="0.3">
      <c r="P33" s="4"/>
      <c r="Q33" s="4"/>
      <c r="R33" s="4"/>
      <c r="S33" s="4"/>
      <c r="DX33" s="58"/>
      <c r="DY33" s="58"/>
      <c r="DZ33" s="58"/>
      <c r="EA33" s="73"/>
      <c r="EB33" s="58"/>
      <c r="EC33" s="58"/>
      <c r="ED33" s="58"/>
      <c r="EE33" s="58"/>
      <c r="EF33" s="58"/>
      <c r="EG33" s="58"/>
      <c r="EH33" s="58"/>
      <c r="EI33" s="58"/>
      <c r="EJ33" s="58"/>
      <c r="EK33" s="58"/>
      <c r="EL33" s="58"/>
      <c r="EM33" s="58"/>
      <c r="EN33" s="58"/>
    </row>
    <row r="34" spans="16:144" x14ac:dyDescent="0.3">
      <c r="P34" s="4"/>
      <c r="Q34" s="4"/>
      <c r="R34" s="4"/>
      <c r="S34" s="4"/>
      <c r="DX34" s="58"/>
      <c r="DY34" s="58"/>
      <c r="DZ34" s="58"/>
      <c r="EA34" s="58"/>
      <c r="EB34" s="58"/>
      <c r="EC34" s="58"/>
      <c r="ED34" s="58"/>
      <c r="EE34" s="58"/>
      <c r="EF34" s="58"/>
      <c r="EG34" s="58"/>
      <c r="EH34" s="58"/>
      <c r="EI34" s="58"/>
      <c r="EJ34" s="58"/>
      <c r="EK34" s="58"/>
      <c r="EL34" s="58"/>
      <c r="EM34" s="58"/>
      <c r="EN34" s="58"/>
    </row>
    <row r="35" spans="16:144" x14ac:dyDescent="0.3">
      <c r="P35" s="4"/>
      <c r="Q35" s="4"/>
      <c r="R35" s="4"/>
      <c r="S35" s="4"/>
      <c r="DX35" s="58"/>
      <c r="DY35" s="58"/>
      <c r="DZ35" s="58"/>
      <c r="EA35" s="58"/>
      <c r="EB35" s="58"/>
      <c r="EC35" s="58"/>
      <c r="ED35" s="58"/>
      <c r="EE35" s="58"/>
      <c r="EF35" s="58"/>
      <c r="EG35" s="58"/>
      <c r="EH35" s="58"/>
      <c r="EI35" s="58"/>
      <c r="EJ35" s="58"/>
      <c r="EK35" s="58"/>
      <c r="EL35" s="58"/>
      <c r="EM35" s="58"/>
      <c r="EN35" s="58"/>
    </row>
    <row r="36" spans="16:144" x14ac:dyDescent="0.3">
      <c r="P36" s="4"/>
      <c r="Q36" s="4"/>
      <c r="R36" s="4"/>
      <c r="S36" s="4"/>
      <c r="DX36" s="58"/>
      <c r="DY36" s="58"/>
      <c r="DZ36" s="58"/>
      <c r="EA36" s="58"/>
      <c r="EB36" s="58"/>
      <c r="EC36" s="58"/>
      <c r="ED36" s="58"/>
      <c r="EE36" s="58"/>
      <c r="EF36" s="58"/>
      <c r="EG36" s="58"/>
      <c r="EH36" s="58"/>
      <c r="EI36" s="58"/>
      <c r="EJ36" s="58"/>
      <c r="EK36" s="58"/>
      <c r="EL36" s="58"/>
      <c r="EM36" s="58"/>
      <c r="EN36" s="58"/>
    </row>
    <row r="37" spans="16:144" x14ac:dyDescent="0.3">
      <c r="P37" s="4"/>
      <c r="Q37" s="4"/>
      <c r="R37" s="4"/>
      <c r="S37" s="4"/>
      <c r="DX37" s="58"/>
      <c r="DY37" s="58"/>
      <c r="DZ37" s="58"/>
      <c r="EA37" s="58"/>
      <c r="EB37" s="58"/>
      <c r="EC37" s="58"/>
      <c r="ED37" s="58"/>
      <c r="EE37" s="58"/>
      <c r="EF37" s="58"/>
      <c r="EG37" s="58"/>
      <c r="EH37" s="58"/>
      <c r="EI37" s="58"/>
      <c r="EJ37" s="58"/>
      <c r="EK37" s="58"/>
      <c r="EL37" s="58"/>
      <c r="EM37" s="58"/>
      <c r="EN37" s="58"/>
    </row>
    <row r="38" spans="16:144" x14ac:dyDescent="0.3">
      <c r="P38" s="4"/>
      <c r="Q38" s="4"/>
      <c r="R38" s="4"/>
      <c r="S38" s="4"/>
      <c r="DX38" s="58"/>
      <c r="DY38" s="58"/>
      <c r="DZ38" s="58"/>
      <c r="EA38" s="58"/>
      <c r="EB38" s="58"/>
      <c r="EC38" s="58"/>
      <c r="ED38" s="58"/>
      <c r="EE38" s="58"/>
      <c r="EF38" s="58"/>
      <c r="EG38" s="58"/>
      <c r="EH38" s="58"/>
      <c r="EI38" s="58"/>
      <c r="EJ38" s="58"/>
      <c r="EK38" s="58"/>
      <c r="EL38" s="58"/>
      <c r="EM38" s="58"/>
      <c r="EN38" s="58"/>
    </row>
    <row r="39" spans="16:144" x14ac:dyDescent="0.3">
      <c r="P39" s="4"/>
      <c r="Q39" s="4"/>
      <c r="R39" s="4"/>
      <c r="S39" s="4"/>
      <c r="DX39" s="58"/>
      <c r="DY39" s="58"/>
      <c r="DZ39" s="58"/>
      <c r="EA39" s="58"/>
      <c r="EB39" s="58"/>
      <c r="EC39" s="58"/>
      <c r="ED39" s="58"/>
      <c r="EE39" s="58"/>
      <c r="EF39" s="58"/>
      <c r="EG39" s="58"/>
      <c r="EH39" s="58"/>
      <c r="EI39" s="58"/>
      <c r="EJ39" s="58"/>
      <c r="EK39" s="58"/>
      <c r="EL39" s="58"/>
      <c r="EM39" s="58"/>
      <c r="EN39" s="58"/>
    </row>
    <row r="40" spans="16:144" x14ac:dyDescent="0.3">
      <c r="P40" s="4"/>
      <c r="Q40" s="4"/>
      <c r="R40" s="4"/>
      <c r="S40" s="4"/>
      <c r="DX40" s="58"/>
      <c r="DY40" s="58"/>
      <c r="DZ40" s="58"/>
      <c r="EA40" s="58"/>
      <c r="EB40" s="58"/>
      <c r="EC40" s="58"/>
      <c r="ED40" s="58"/>
      <c r="EE40" s="58"/>
      <c r="EF40" s="58"/>
      <c r="EG40" s="58"/>
      <c r="EH40" s="58"/>
      <c r="EI40" s="58"/>
      <c r="EJ40" s="58"/>
      <c r="EK40" s="58"/>
      <c r="EL40" s="58"/>
      <c r="EM40" s="58"/>
      <c r="EN40" s="58"/>
    </row>
    <row r="41" spans="16:144" x14ac:dyDescent="0.3">
      <c r="P41" s="4"/>
      <c r="Q41" s="4"/>
      <c r="R41" s="4"/>
      <c r="S41" s="4"/>
      <c r="DX41" s="58"/>
      <c r="DY41" s="58"/>
      <c r="DZ41" s="58"/>
      <c r="EA41" s="58"/>
      <c r="EB41" s="58"/>
      <c r="EC41" s="58"/>
      <c r="ED41" s="58"/>
      <c r="EE41" s="58"/>
      <c r="EF41" s="58"/>
      <c r="EG41" s="58"/>
      <c r="EH41" s="58"/>
      <c r="EI41" s="58"/>
      <c r="EJ41" s="58"/>
      <c r="EK41" s="58"/>
      <c r="EL41" s="58"/>
      <c r="EM41" s="58"/>
      <c r="EN41" s="58"/>
    </row>
    <row r="42" spans="16:144" x14ac:dyDescent="0.3">
      <c r="P42" s="4"/>
      <c r="Q42" s="4"/>
      <c r="R42" s="4"/>
      <c r="S42" s="4"/>
      <c r="DX42" s="58"/>
      <c r="DY42" s="58"/>
      <c r="DZ42" s="58"/>
      <c r="EA42" s="58"/>
      <c r="EB42" s="58"/>
      <c r="EC42" s="58"/>
      <c r="ED42" s="58"/>
      <c r="EE42" s="58"/>
      <c r="EF42" s="58"/>
      <c r="EG42" s="58"/>
      <c r="EH42" s="58"/>
      <c r="EI42" s="58"/>
      <c r="EJ42" s="58"/>
      <c r="EK42" s="58"/>
      <c r="EL42" s="58"/>
      <c r="EM42" s="58"/>
      <c r="EN42" s="58"/>
    </row>
    <row r="43" spans="16:144" x14ac:dyDescent="0.3">
      <c r="P43" s="4"/>
      <c r="Q43" s="4"/>
      <c r="R43" s="4"/>
      <c r="S43" s="4"/>
      <c r="DX43" s="58"/>
      <c r="DY43" s="58"/>
      <c r="DZ43" s="58"/>
      <c r="EA43" s="58"/>
      <c r="EB43" s="58"/>
      <c r="EC43" s="58"/>
      <c r="ED43" s="58"/>
      <c r="EE43" s="58"/>
      <c r="EF43" s="58"/>
      <c r="EG43" s="58"/>
      <c r="EH43" s="58"/>
      <c r="EI43" s="58"/>
      <c r="EJ43" s="58"/>
      <c r="EK43" s="58"/>
      <c r="EL43" s="58"/>
      <c r="EM43" s="58"/>
      <c r="EN43" s="58"/>
    </row>
    <row r="44" spans="16:144" x14ac:dyDescent="0.3">
      <c r="P44" s="4"/>
      <c r="Q44" s="4"/>
      <c r="R44" s="4"/>
      <c r="S44" s="4"/>
      <c r="DX44" s="58"/>
      <c r="DY44" s="58"/>
      <c r="DZ44" s="58"/>
      <c r="EA44" s="58"/>
      <c r="EB44" s="58"/>
      <c r="EC44" s="58"/>
      <c r="ED44" s="58"/>
      <c r="EE44" s="58"/>
      <c r="EF44" s="58"/>
      <c r="EG44" s="58"/>
      <c r="EH44" s="58"/>
      <c r="EI44" s="58"/>
      <c r="EJ44" s="58"/>
      <c r="EK44" s="58"/>
      <c r="EL44" s="58"/>
      <c r="EM44" s="58"/>
      <c r="EN44" s="58"/>
    </row>
    <row r="45" spans="16:144" x14ac:dyDescent="0.3">
      <c r="P45" s="4"/>
      <c r="Q45" s="4"/>
      <c r="R45" s="4"/>
      <c r="S45" s="4"/>
      <c r="DX45" s="58"/>
      <c r="DY45" s="58"/>
      <c r="DZ45" s="58"/>
      <c r="EA45" s="58"/>
      <c r="EB45" s="58"/>
      <c r="EC45" s="58"/>
      <c r="ED45" s="58"/>
      <c r="EE45" s="58"/>
      <c r="EF45" s="58"/>
      <c r="EG45" s="58"/>
      <c r="EH45" s="58"/>
      <c r="EI45" s="58"/>
      <c r="EJ45" s="58"/>
      <c r="EK45" s="58"/>
      <c r="EL45" s="58"/>
      <c r="EM45" s="58"/>
      <c r="EN45" s="58"/>
    </row>
    <row r="46" spans="16:144" x14ac:dyDescent="0.3">
      <c r="P46" s="4"/>
      <c r="Q46" s="4"/>
      <c r="R46" s="4"/>
      <c r="S46" s="4"/>
      <c r="DX46" s="58"/>
      <c r="DY46" s="58"/>
      <c r="DZ46" s="58"/>
      <c r="EA46" s="58"/>
      <c r="EB46" s="58"/>
      <c r="EC46" s="58"/>
      <c r="ED46" s="58"/>
      <c r="EE46" s="58"/>
      <c r="EF46" s="58"/>
      <c r="EG46" s="58"/>
      <c r="EH46" s="58"/>
      <c r="EI46" s="58"/>
      <c r="EJ46" s="58"/>
      <c r="EK46" s="58"/>
      <c r="EL46" s="58"/>
      <c r="EM46" s="58"/>
      <c r="EN46" s="58"/>
    </row>
    <row r="47" spans="16:144" x14ac:dyDescent="0.3">
      <c r="P47" s="4"/>
      <c r="Q47" s="4"/>
      <c r="R47" s="4"/>
      <c r="S47" s="4"/>
      <c r="DX47" s="58"/>
      <c r="DY47" s="58"/>
      <c r="DZ47" s="58"/>
      <c r="EA47" s="58"/>
      <c r="EB47" s="58"/>
      <c r="EC47" s="58"/>
      <c r="ED47" s="58"/>
      <c r="EE47" s="58"/>
      <c r="EF47" s="58"/>
      <c r="EG47" s="58"/>
      <c r="EH47" s="58"/>
      <c r="EI47" s="58"/>
      <c r="EJ47" s="58"/>
      <c r="EK47" s="58"/>
      <c r="EL47" s="58"/>
      <c r="EM47" s="58"/>
      <c r="EN47" s="58"/>
    </row>
    <row r="48" spans="16:144" x14ac:dyDescent="0.3">
      <c r="P48" s="4"/>
      <c r="Q48" s="4"/>
      <c r="R48" s="4"/>
      <c r="S48" s="4"/>
      <c r="DX48" s="58"/>
      <c r="DY48" s="58"/>
      <c r="DZ48" s="58"/>
      <c r="EA48" s="58"/>
      <c r="EB48" s="58"/>
      <c r="EC48" s="58"/>
      <c r="ED48" s="58"/>
      <c r="EE48" s="58"/>
      <c r="EF48" s="58"/>
      <c r="EG48" s="58"/>
      <c r="EH48" s="58"/>
      <c r="EI48" s="58"/>
      <c r="EJ48" s="58"/>
      <c r="EK48" s="58"/>
      <c r="EL48" s="58"/>
      <c r="EM48" s="58"/>
      <c r="EN48" s="58"/>
    </row>
    <row r="49" spans="1:144" x14ac:dyDescent="0.3">
      <c r="A49" s="4"/>
      <c r="B49" s="5"/>
      <c r="C49" s="5"/>
      <c r="D49" s="6"/>
      <c r="E49" s="4"/>
      <c r="F49" s="4"/>
      <c r="G49" s="4"/>
      <c r="H49" s="4"/>
      <c r="I49" s="4"/>
      <c r="J49" s="4"/>
      <c r="K49" s="4"/>
      <c r="L49" s="4"/>
      <c r="M49" s="4"/>
      <c r="N49" s="4"/>
      <c r="O49" s="4"/>
      <c r="P49" s="4"/>
      <c r="Q49" s="4"/>
      <c r="R49" s="4"/>
      <c r="S49" s="4"/>
      <c r="DX49" s="58"/>
      <c r="DY49" s="58"/>
      <c r="DZ49" s="58"/>
      <c r="EA49" s="58"/>
      <c r="EB49" s="58"/>
      <c r="EC49" s="58"/>
      <c r="ED49" s="58"/>
      <c r="EE49" s="58"/>
      <c r="EF49" s="58"/>
      <c r="EG49" s="58"/>
      <c r="EH49" s="58"/>
      <c r="EI49" s="58"/>
      <c r="EJ49" s="58"/>
      <c r="EK49" s="58"/>
      <c r="EL49" s="58"/>
      <c r="EM49" s="58"/>
      <c r="EN49" s="58"/>
    </row>
    <row r="50" spans="1:144" x14ac:dyDescent="0.3">
      <c r="A50" s="4"/>
      <c r="B50" s="5"/>
      <c r="C50" s="5"/>
      <c r="D50" s="6"/>
      <c r="E50" s="4"/>
      <c r="F50" s="123"/>
      <c r="G50" s="123"/>
      <c r="H50" s="123"/>
      <c r="I50" s="123"/>
      <c r="J50" s="123"/>
      <c r="K50" s="123"/>
      <c r="L50" s="123"/>
      <c r="M50" s="123"/>
      <c r="N50" s="123"/>
      <c r="O50" s="4"/>
      <c r="P50" s="4"/>
      <c r="Q50" s="4"/>
      <c r="R50" s="4"/>
      <c r="S50" s="4"/>
      <c r="DX50" s="58"/>
      <c r="DY50" s="58"/>
      <c r="DZ50" s="58"/>
      <c r="EA50" s="58"/>
      <c r="EB50" s="58"/>
      <c r="EC50" s="58"/>
      <c r="ED50" s="58"/>
      <c r="EE50" s="58"/>
      <c r="EF50" s="58"/>
      <c r="EG50" s="58"/>
      <c r="EH50" s="58"/>
      <c r="EI50" s="58"/>
      <c r="EJ50" s="58"/>
      <c r="EK50" s="58"/>
      <c r="EL50" s="58"/>
      <c r="EM50" s="58"/>
      <c r="EN50" s="58"/>
    </row>
    <row r="51" spans="1:144" x14ac:dyDescent="0.3">
      <c r="A51" s="4"/>
      <c r="B51" s="5"/>
      <c r="C51" s="5"/>
      <c r="D51" s="6"/>
      <c r="E51" s="4"/>
      <c r="F51" s="123"/>
      <c r="G51" s="123"/>
      <c r="H51" s="123"/>
      <c r="I51" s="123"/>
      <c r="J51" s="123"/>
      <c r="K51" s="123"/>
      <c r="L51" s="123"/>
      <c r="M51" s="123"/>
      <c r="N51" s="123"/>
      <c r="O51" s="4"/>
      <c r="P51" s="4"/>
      <c r="Q51" s="4"/>
      <c r="R51" s="4"/>
      <c r="S51" s="4"/>
      <c r="DX51" s="58"/>
      <c r="DY51" s="58"/>
      <c r="DZ51" s="58"/>
      <c r="EA51" s="58"/>
      <c r="EB51" s="58"/>
      <c r="EC51" s="58"/>
      <c r="ED51" s="58"/>
      <c r="EE51" s="58"/>
      <c r="EF51" s="58"/>
      <c r="EG51" s="58"/>
      <c r="EH51" s="58"/>
      <c r="EI51" s="58"/>
      <c r="EJ51" s="58"/>
      <c r="EK51" s="58"/>
      <c r="EL51" s="58"/>
      <c r="EM51" s="58"/>
      <c r="EN51" s="58"/>
    </row>
    <row r="52" spans="1:144" x14ac:dyDescent="0.3">
      <c r="A52" s="4"/>
      <c r="B52" s="5"/>
      <c r="C52" s="5"/>
      <c r="D52" s="6"/>
      <c r="E52" s="4"/>
      <c r="F52" s="123"/>
      <c r="G52" s="123"/>
      <c r="H52" s="123"/>
      <c r="I52" s="123"/>
      <c r="J52" s="123"/>
      <c r="K52" s="123"/>
      <c r="L52" s="123"/>
      <c r="M52" s="123"/>
      <c r="N52" s="123"/>
      <c r="O52" s="4"/>
      <c r="P52" s="4"/>
      <c r="Q52" s="4"/>
      <c r="R52" s="4"/>
      <c r="S52" s="4"/>
      <c r="DX52" s="58"/>
      <c r="DY52" s="58"/>
      <c r="DZ52" s="58"/>
      <c r="EA52" s="58"/>
      <c r="EB52" s="58"/>
      <c r="EC52" s="58"/>
      <c r="ED52" s="58"/>
      <c r="EE52" s="58"/>
      <c r="EF52" s="58"/>
      <c r="EG52" s="58"/>
      <c r="EH52" s="58"/>
      <c r="EI52" s="58"/>
      <c r="EJ52" s="58"/>
      <c r="EK52" s="58"/>
      <c r="EL52" s="58"/>
      <c r="EM52" s="58"/>
      <c r="EN52" s="58"/>
    </row>
    <row r="53" spans="1:144" x14ac:dyDescent="0.3">
      <c r="A53" s="4"/>
      <c r="B53" s="5"/>
      <c r="C53" s="5"/>
      <c r="D53" s="6"/>
      <c r="E53" s="4"/>
      <c r="F53" s="4"/>
      <c r="G53" s="4"/>
      <c r="H53" s="4"/>
      <c r="I53" s="4"/>
      <c r="J53" s="4"/>
      <c r="K53" s="4"/>
      <c r="L53" s="4"/>
      <c r="M53" s="4"/>
      <c r="N53" s="4"/>
      <c r="O53" s="4"/>
      <c r="P53" s="4"/>
      <c r="Q53" s="4"/>
      <c r="R53" s="4"/>
      <c r="S53" s="4"/>
    </row>
  </sheetData>
  <sheetProtection sheet="1" objects="1" scenarios="1" selectLockedCells="1"/>
  <mergeCells count="52">
    <mergeCell ref="T3:W3"/>
    <mergeCell ref="BD3:BF3"/>
    <mergeCell ref="CN3:CQ3"/>
    <mergeCell ref="DF3:DI3"/>
    <mergeCell ref="DX3:EH3"/>
    <mergeCell ref="EK4:EN4"/>
    <mergeCell ref="F5:N7"/>
    <mergeCell ref="X5:AF7"/>
    <mergeCell ref="AP5:AX7"/>
    <mergeCell ref="BH5:BP7"/>
    <mergeCell ref="BZ5:CH7"/>
    <mergeCell ref="CR5:CZ7"/>
    <mergeCell ref="DJ5:DR7"/>
    <mergeCell ref="DX4:DY4"/>
    <mergeCell ref="DZ4:EH4"/>
    <mergeCell ref="AT9:AW9"/>
    <mergeCell ref="F11:G11"/>
    <mergeCell ref="J11:M11"/>
    <mergeCell ref="X11:Y11"/>
    <mergeCell ref="AB11:AE11"/>
    <mergeCell ref="AP11:AQ11"/>
    <mergeCell ref="AT11:AW11"/>
    <mergeCell ref="DJ11:DK11"/>
    <mergeCell ref="DN11:DQ11"/>
    <mergeCell ref="J13:M13"/>
    <mergeCell ref="AB13:AE13"/>
    <mergeCell ref="AT13:AW13"/>
    <mergeCell ref="BL13:BO13"/>
    <mergeCell ref="CD13:CG13"/>
    <mergeCell ref="CV13:CY13"/>
    <mergeCell ref="DN13:DQ13"/>
    <mergeCell ref="BH11:BI11"/>
    <mergeCell ref="BL11:BO11"/>
    <mergeCell ref="BZ11:CA11"/>
    <mergeCell ref="CD11:CG11"/>
    <mergeCell ref="CR11:CS11"/>
    <mergeCell ref="CV11:CY11"/>
    <mergeCell ref="F23:N25"/>
    <mergeCell ref="F50:N52"/>
    <mergeCell ref="DN15:DQ15"/>
    <mergeCell ref="J17:M17"/>
    <mergeCell ref="AB17:AE17"/>
    <mergeCell ref="AT17:AW17"/>
    <mergeCell ref="BL17:BO17"/>
    <mergeCell ref="CD17:CG17"/>
    <mergeCell ref="CV17:CY17"/>
    <mergeCell ref="J15:M15"/>
    <mergeCell ref="AB15:AE15"/>
    <mergeCell ref="AT15:AW15"/>
    <mergeCell ref="BL15:BO15"/>
    <mergeCell ref="CD15:CG15"/>
    <mergeCell ref="CV15:CY15"/>
  </mergeCells>
  <conditionalFormatting sqref="EM5:EM21">
    <cfRule type="top10" dxfId="28" priority="1" rank="3"/>
  </conditionalFormatting>
  <printOptions verticalCentered="1"/>
  <pageMargins left="0.74803149606299213" right="0.74803149606299213" top="1.1811023622047245" bottom="0.98425196850393704" header="0.51181102362204722" footer="0.51181102362204722"/>
  <pageSetup paperSize="9" scale="10" orientation="portrait" horizontalDpi="4294967294" verticalDpi="0" r:id="rId1"/>
  <headerFooter alignWithMargins="0">
    <oddHeader>&amp;C&amp;24&amp;K03+000
Results Belbintest&amp;R&amp;G</oddHeader>
    <oddFooter>&amp;R&amp;K03+000Printing date &amp;D</oddFooter>
  </headerFooter>
  <colBreaks count="13" manualBreakCount="13">
    <brk id="5" max="1048575" man="1"/>
    <brk id="18" max="1048575" man="1"/>
    <brk id="23" max="1048575" man="1"/>
    <brk id="41" max="1048575" man="1"/>
    <brk id="54" max="1048575" man="1"/>
    <brk id="59" max="1048575" man="1"/>
    <brk id="77" max="1048575" man="1"/>
    <brk id="90" max="1048575" man="1"/>
    <brk id="95" max="1048575" man="1"/>
    <brk id="108" max="1048575" man="1"/>
    <brk id="113" max="1048575" man="1"/>
    <brk id="126" max="1048575" man="1"/>
    <brk id="144" max="1048575" man="1"/>
  </colBreaks>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23">
    <pageSetUpPr fitToPage="1"/>
  </sheetPr>
  <dimension ref="A1:GL53"/>
  <sheetViews>
    <sheetView topLeftCell="CZ1" zoomScale="85" zoomScaleNormal="85" workbookViewId="0">
      <selection activeCell="DH21" sqref="DH21"/>
    </sheetView>
  </sheetViews>
  <sheetFormatPr defaultColWidth="9.109375" defaultRowHeight="17.399999999999999" x14ac:dyDescent="0.25"/>
  <cols>
    <col min="1" max="1" width="8.6640625" style="3" customWidth="1"/>
    <col min="2" max="2" width="59.33203125" style="1" bestFit="1" customWidth="1"/>
    <col min="3" max="3" width="2.33203125" style="1" customWidth="1"/>
    <col min="4" max="4" width="9.109375" style="2"/>
    <col min="5" max="18" width="9.109375" style="3"/>
    <col min="19" max="19" width="8.6640625" style="3" customWidth="1"/>
    <col min="20" max="20" width="59.33203125" style="3" customWidth="1"/>
    <col min="21" max="21" width="2.33203125" style="3" customWidth="1"/>
    <col min="22" max="35" width="9.109375" style="3"/>
    <col min="36" max="36" width="9.109375" style="3" customWidth="1"/>
    <col min="37" max="37" width="8.6640625" style="3" customWidth="1"/>
    <col min="38" max="38" width="59.33203125" style="3" customWidth="1"/>
    <col min="39" max="39" width="2.33203125" style="3" customWidth="1"/>
    <col min="40" max="53" width="9.109375" style="3"/>
    <col min="54" max="54" width="9.109375" style="3" customWidth="1"/>
    <col min="55" max="55" width="8.6640625" style="3" customWidth="1"/>
    <col min="56" max="56" width="59.33203125" style="3" customWidth="1"/>
    <col min="57" max="57" width="2.33203125" style="3" customWidth="1"/>
    <col min="58" max="71" width="9.109375" style="3"/>
    <col min="72" max="72" width="9.109375" style="3" customWidth="1"/>
    <col min="73" max="73" width="8.6640625" style="3" customWidth="1"/>
    <col min="74" max="74" width="59.33203125" style="3" customWidth="1"/>
    <col min="75" max="75" width="2.33203125" style="3" customWidth="1"/>
    <col min="76" max="89" width="9.109375" style="3"/>
    <col min="90" max="90" width="9.109375" style="3" customWidth="1"/>
    <col min="91" max="91" width="8.6640625" style="3" customWidth="1"/>
    <col min="92" max="92" width="59.33203125" style="3" customWidth="1"/>
    <col min="93" max="93" width="2.33203125" style="3" customWidth="1"/>
    <col min="94" max="107" width="9.109375" style="3"/>
    <col min="108" max="108" width="9.109375" style="3" customWidth="1"/>
    <col min="109" max="109" width="8.6640625" style="3" customWidth="1"/>
    <col min="110" max="110" width="59.33203125" style="3" customWidth="1"/>
    <col min="111" max="111" width="2.33203125" style="3" customWidth="1"/>
    <col min="112" max="127" width="9.109375" style="3"/>
    <col min="128" max="128" width="9.109375" style="3" customWidth="1"/>
    <col min="129" max="129" width="3.33203125" style="3" customWidth="1"/>
    <col min="130" max="138" width="4.77734375" style="3" customWidth="1"/>
    <col min="139" max="141" width="9.109375" style="3"/>
    <col min="142" max="142" width="14.6640625" style="3" customWidth="1"/>
    <col min="143" max="143" width="9.109375" style="3"/>
    <col min="144" max="144" width="6.6640625" style="3" customWidth="1"/>
    <col min="145" max="150" width="9.109375" style="3"/>
    <col min="151" max="151" width="2.33203125" style="3" customWidth="1"/>
    <col min="152" max="152" width="2.88671875" style="3" customWidth="1"/>
    <col min="153" max="257" width="9.109375" style="3"/>
    <col min="258" max="258" width="3" style="3" customWidth="1"/>
    <col min="259" max="259" width="59.33203125" style="3" bestFit="1" customWidth="1"/>
    <col min="260" max="260" width="2.33203125" style="3" customWidth="1"/>
    <col min="261" max="513" width="9.109375" style="3"/>
    <col min="514" max="514" width="3" style="3" customWidth="1"/>
    <col min="515" max="515" width="59.33203125" style="3" bestFit="1" customWidth="1"/>
    <col min="516" max="516" width="2.33203125" style="3" customWidth="1"/>
    <col min="517" max="769" width="9.109375" style="3"/>
    <col min="770" max="770" width="3" style="3" customWidth="1"/>
    <col min="771" max="771" width="59.33203125" style="3" bestFit="1" customWidth="1"/>
    <col min="772" max="772" width="2.33203125" style="3" customWidth="1"/>
    <col min="773" max="1025" width="9.109375" style="3"/>
    <col min="1026" max="1026" width="3" style="3" customWidth="1"/>
    <col min="1027" max="1027" width="59.33203125" style="3" bestFit="1" customWidth="1"/>
    <col min="1028" max="1028" width="2.33203125" style="3" customWidth="1"/>
    <col min="1029" max="1281" width="9.109375" style="3"/>
    <col min="1282" max="1282" width="3" style="3" customWidth="1"/>
    <col min="1283" max="1283" width="59.33203125" style="3" bestFit="1" customWidth="1"/>
    <col min="1284" max="1284" width="2.33203125" style="3" customWidth="1"/>
    <col min="1285" max="1537" width="9.109375" style="3"/>
    <col min="1538" max="1538" width="3" style="3" customWidth="1"/>
    <col min="1539" max="1539" width="59.33203125" style="3" bestFit="1" customWidth="1"/>
    <col min="1540" max="1540" width="2.33203125" style="3" customWidth="1"/>
    <col min="1541" max="1793" width="9.109375" style="3"/>
    <col min="1794" max="1794" width="3" style="3" customWidth="1"/>
    <col min="1795" max="1795" width="59.33203125" style="3" bestFit="1" customWidth="1"/>
    <col min="1796" max="1796" width="2.33203125" style="3" customWidth="1"/>
    <col min="1797" max="2049" width="9.109375" style="3"/>
    <col min="2050" max="2050" width="3" style="3" customWidth="1"/>
    <col min="2051" max="2051" width="59.33203125" style="3" bestFit="1" customWidth="1"/>
    <col min="2052" max="2052" width="2.33203125" style="3" customWidth="1"/>
    <col min="2053" max="2305" width="9.109375" style="3"/>
    <col min="2306" max="2306" width="3" style="3" customWidth="1"/>
    <col min="2307" max="2307" width="59.33203125" style="3" bestFit="1" customWidth="1"/>
    <col min="2308" max="2308" width="2.33203125" style="3" customWidth="1"/>
    <col min="2309" max="2561" width="9.109375" style="3"/>
    <col min="2562" max="2562" width="3" style="3" customWidth="1"/>
    <col min="2563" max="2563" width="59.33203125" style="3" bestFit="1" customWidth="1"/>
    <col min="2564" max="2564" width="2.33203125" style="3" customWidth="1"/>
    <col min="2565" max="2817" width="9.109375" style="3"/>
    <col min="2818" max="2818" width="3" style="3" customWidth="1"/>
    <col min="2819" max="2819" width="59.33203125" style="3" bestFit="1" customWidth="1"/>
    <col min="2820" max="2820" width="2.33203125" style="3" customWidth="1"/>
    <col min="2821" max="3073" width="9.109375" style="3"/>
    <col min="3074" max="3074" width="3" style="3" customWidth="1"/>
    <col min="3075" max="3075" width="59.33203125" style="3" bestFit="1" customWidth="1"/>
    <col min="3076" max="3076" width="2.33203125" style="3" customWidth="1"/>
    <col min="3077" max="3329" width="9.109375" style="3"/>
    <col min="3330" max="3330" width="3" style="3" customWidth="1"/>
    <col min="3331" max="3331" width="59.33203125" style="3" bestFit="1" customWidth="1"/>
    <col min="3332" max="3332" width="2.33203125" style="3" customWidth="1"/>
    <col min="3333" max="3585" width="9.109375" style="3"/>
    <col min="3586" max="3586" width="3" style="3" customWidth="1"/>
    <col min="3587" max="3587" width="59.33203125" style="3" bestFit="1" customWidth="1"/>
    <col min="3588" max="3588" width="2.33203125" style="3" customWidth="1"/>
    <col min="3589" max="3841" width="9.109375" style="3"/>
    <col min="3842" max="3842" width="3" style="3" customWidth="1"/>
    <col min="3843" max="3843" width="59.33203125" style="3" bestFit="1" customWidth="1"/>
    <col min="3844" max="3844" width="2.33203125" style="3" customWidth="1"/>
    <col min="3845" max="4097" width="9.109375" style="3"/>
    <col min="4098" max="4098" width="3" style="3" customWidth="1"/>
    <col min="4099" max="4099" width="59.33203125" style="3" bestFit="1" customWidth="1"/>
    <col min="4100" max="4100" width="2.33203125" style="3" customWidth="1"/>
    <col min="4101" max="4353" width="9.109375" style="3"/>
    <col min="4354" max="4354" width="3" style="3" customWidth="1"/>
    <col min="4355" max="4355" width="59.33203125" style="3" bestFit="1" customWidth="1"/>
    <col min="4356" max="4356" width="2.33203125" style="3" customWidth="1"/>
    <col min="4357" max="4609" width="9.109375" style="3"/>
    <col min="4610" max="4610" width="3" style="3" customWidth="1"/>
    <col min="4611" max="4611" width="59.33203125" style="3" bestFit="1" customWidth="1"/>
    <col min="4612" max="4612" width="2.33203125" style="3" customWidth="1"/>
    <col min="4613" max="4865" width="9.109375" style="3"/>
    <col min="4866" max="4866" width="3" style="3" customWidth="1"/>
    <col min="4867" max="4867" width="59.33203125" style="3" bestFit="1" customWidth="1"/>
    <col min="4868" max="4868" width="2.33203125" style="3" customWidth="1"/>
    <col min="4869" max="5121" width="9.109375" style="3"/>
    <col min="5122" max="5122" width="3" style="3" customWidth="1"/>
    <col min="5123" max="5123" width="59.33203125" style="3" bestFit="1" customWidth="1"/>
    <col min="5124" max="5124" width="2.33203125" style="3" customWidth="1"/>
    <col min="5125" max="5377" width="9.109375" style="3"/>
    <col min="5378" max="5378" width="3" style="3" customWidth="1"/>
    <col min="5379" max="5379" width="59.33203125" style="3" bestFit="1" customWidth="1"/>
    <col min="5380" max="5380" width="2.33203125" style="3" customWidth="1"/>
    <col min="5381" max="5633" width="9.109375" style="3"/>
    <col min="5634" max="5634" width="3" style="3" customWidth="1"/>
    <col min="5635" max="5635" width="59.33203125" style="3" bestFit="1" customWidth="1"/>
    <col min="5636" max="5636" width="2.33203125" style="3" customWidth="1"/>
    <col min="5637" max="5889" width="9.109375" style="3"/>
    <col min="5890" max="5890" width="3" style="3" customWidth="1"/>
    <col min="5891" max="5891" width="59.33203125" style="3" bestFit="1" customWidth="1"/>
    <col min="5892" max="5892" width="2.33203125" style="3" customWidth="1"/>
    <col min="5893" max="6145" width="9.109375" style="3"/>
    <col min="6146" max="6146" width="3" style="3" customWidth="1"/>
    <col min="6147" max="6147" width="59.33203125" style="3" bestFit="1" customWidth="1"/>
    <col min="6148" max="6148" width="2.33203125" style="3" customWidth="1"/>
    <col min="6149" max="6401" width="9.109375" style="3"/>
    <col min="6402" max="6402" width="3" style="3" customWidth="1"/>
    <col min="6403" max="6403" width="59.33203125" style="3" bestFit="1" customWidth="1"/>
    <col min="6404" max="6404" width="2.33203125" style="3" customWidth="1"/>
    <col min="6405" max="6657" width="9.109375" style="3"/>
    <col min="6658" max="6658" width="3" style="3" customWidth="1"/>
    <col min="6659" max="6659" width="59.33203125" style="3" bestFit="1" customWidth="1"/>
    <col min="6660" max="6660" width="2.33203125" style="3" customWidth="1"/>
    <col min="6661" max="6913" width="9.109375" style="3"/>
    <col min="6914" max="6914" width="3" style="3" customWidth="1"/>
    <col min="6915" max="6915" width="59.33203125" style="3" bestFit="1" customWidth="1"/>
    <col min="6916" max="6916" width="2.33203125" style="3" customWidth="1"/>
    <col min="6917" max="7169" width="9.109375" style="3"/>
    <col min="7170" max="7170" width="3" style="3" customWidth="1"/>
    <col min="7171" max="7171" width="59.33203125" style="3" bestFit="1" customWidth="1"/>
    <col min="7172" max="7172" width="2.33203125" style="3" customWidth="1"/>
    <col min="7173" max="7425" width="9.109375" style="3"/>
    <col min="7426" max="7426" width="3" style="3" customWidth="1"/>
    <col min="7427" max="7427" width="59.33203125" style="3" bestFit="1" customWidth="1"/>
    <col min="7428" max="7428" width="2.33203125" style="3" customWidth="1"/>
    <col min="7429" max="7681" width="9.109375" style="3"/>
    <col min="7682" max="7682" width="3" style="3" customWidth="1"/>
    <col min="7683" max="7683" width="59.33203125" style="3" bestFit="1" customWidth="1"/>
    <col min="7684" max="7684" width="2.33203125" style="3" customWidth="1"/>
    <col min="7685" max="7937" width="9.109375" style="3"/>
    <col min="7938" max="7938" width="3" style="3" customWidth="1"/>
    <col min="7939" max="7939" width="59.33203125" style="3" bestFit="1" customWidth="1"/>
    <col min="7940" max="7940" width="2.33203125" style="3" customWidth="1"/>
    <col min="7941" max="8193" width="9.109375" style="3"/>
    <col min="8194" max="8194" width="3" style="3" customWidth="1"/>
    <col min="8195" max="8195" width="59.33203125" style="3" bestFit="1" customWidth="1"/>
    <col min="8196" max="8196" width="2.33203125" style="3" customWidth="1"/>
    <col min="8197" max="8449" width="9.109375" style="3"/>
    <col min="8450" max="8450" width="3" style="3" customWidth="1"/>
    <col min="8451" max="8451" width="59.33203125" style="3" bestFit="1" customWidth="1"/>
    <col min="8452" max="8452" width="2.33203125" style="3" customWidth="1"/>
    <col min="8453" max="8705" width="9.109375" style="3"/>
    <col min="8706" max="8706" width="3" style="3" customWidth="1"/>
    <col min="8707" max="8707" width="59.33203125" style="3" bestFit="1" customWidth="1"/>
    <col min="8708" max="8708" width="2.33203125" style="3" customWidth="1"/>
    <col min="8709" max="8961" width="9.109375" style="3"/>
    <col min="8962" max="8962" width="3" style="3" customWidth="1"/>
    <col min="8963" max="8963" width="59.33203125" style="3" bestFit="1" customWidth="1"/>
    <col min="8964" max="8964" width="2.33203125" style="3" customWidth="1"/>
    <col min="8965" max="9217" width="9.109375" style="3"/>
    <col min="9218" max="9218" width="3" style="3" customWidth="1"/>
    <col min="9219" max="9219" width="59.33203125" style="3" bestFit="1" customWidth="1"/>
    <col min="9220" max="9220" width="2.33203125" style="3" customWidth="1"/>
    <col min="9221" max="9473" width="9.109375" style="3"/>
    <col min="9474" max="9474" width="3" style="3" customWidth="1"/>
    <col min="9475" max="9475" width="59.33203125" style="3" bestFit="1" customWidth="1"/>
    <col min="9476" max="9476" width="2.33203125" style="3" customWidth="1"/>
    <col min="9477" max="9729" width="9.109375" style="3"/>
    <col min="9730" max="9730" width="3" style="3" customWidth="1"/>
    <col min="9731" max="9731" width="59.33203125" style="3" bestFit="1" customWidth="1"/>
    <col min="9732" max="9732" width="2.33203125" style="3" customWidth="1"/>
    <col min="9733" max="9985" width="9.109375" style="3"/>
    <col min="9986" max="9986" width="3" style="3" customWidth="1"/>
    <col min="9987" max="9987" width="59.33203125" style="3" bestFit="1" customWidth="1"/>
    <col min="9988" max="9988" width="2.33203125" style="3" customWidth="1"/>
    <col min="9989" max="10241" width="9.109375" style="3"/>
    <col min="10242" max="10242" width="3" style="3" customWidth="1"/>
    <col min="10243" max="10243" width="59.33203125" style="3" bestFit="1" customWidth="1"/>
    <col min="10244" max="10244" width="2.33203125" style="3" customWidth="1"/>
    <col min="10245" max="10497" width="9.109375" style="3"/>
    <col min="10498" max="10498" width="3" style="3" customWidth="1"/>
    <col min="10499" max="10499" width="59.33203125" style="3" bestFit="1" customWidth="1"/>
    <col min="10500" max="10500" width="2.33203125" style="3" customWidth="1"/>
    <col min="10501" max="10753" width="9.109375" style="3"/>
    <col min="10754" max="10754" width="3" style="3" customWidth="1"/>
    <col min="10755" max="10755" width="59.33203125" style="3" bestFit="1" customWidth="1"/>
    <col min="10756" max="10756" width="2.33203125" style="3" customWidth="1"/>
    <col min="10757" max="11009" width="9.109375" style="3"/>
    <col min="11010" max="11010" width="3" style="3" customWidth="1"/>
    <col min="11011" max="11011" width="59.33203125" style="3" bestFit="1" customWidth="1"/>
    <col min="11012" max="11012" width="2.33203125" style="3" customWidth="1"/>
    <col min="11013" max="11265" width="9.109375" style="3"/>
    <col min="11266" max="11266" width="3" style="3" customWidth="1"/>
    <col min="11267" max="11267" width="59.33203125" style="3" bestFit="1" customWidth="1"/>
    <col min="11268" max="11268" width="2.33203125" style="3" customWidth="1"/>
    <col min="11269" max="11521" width="9.109375" style="3"/>
    <col min="11522" max="11522" width="3" style="3" customWidth="1"/>
    <col min="11523" max="11523" width="59.33203125" style="3" bestFit="1" customWidth="1"/>
    <col min="11524" max="11524" width="2.33203125" style="3" customWidth="1"/>
    <col min="11525" max="11777" width="9.109375" style="3"/>
    <col min="11778" max="11778" width="3" style="3" customWidth="1"/>
    <col min="11779" max="11779" width="59.33203125" style="3" bestFit="1" customWidth="1"/>
    <col min="11780" max="11780" width="2.33203125" style="3" customWidth="1"/>
    <col min="11781" max="12033" width="9.109375" style="3"/>
    <col min="12034" max="12034" width="3" style="3" customWidth="1"/>
    <col min="12035" max="12035" width="59.33203125" style="3" bestFit="1" customWidth="1"/>
    <col min="12036" max="12036" width="2.33203125" style="3" customWidth="1"/>
    <col min="12037" max="12289" width="9.109375" style="3"/>
    <col min="12290" max="12290" width="3" style="3" customWidth="1"/>
    <col min="12291" max="12291" width="59.33203125" style="3" bestFit="1" customWidth="1"/>
    <col min="12292" max="12292" width="2.33203125" style="3" customWidth="1"/>
    <col min="12293" max="12545" width="9.109375" style="3"/>
    <col min="12546" max="12546" width="3" style="3" customWidth="1"/>
    <col min="12547" max="12547" width="59.33203125" style="3" bestFit="1" customWidth="1"/>
    <col min="12548" max="12548" width="2.33203125" style="3" customWidth="1"/>
    <col min="12549" max="12801" width="9.109375" style="3"/>
    <col min="12802" max="12802" width="3" style="3" customWidth="1"/>
    <col min="12803" max="12803" width="59.33203125" style="3" bestFit="1" customWidth="1"/>
    <col min="12804" max="12804" width="2.33203125" style="3" customWidth="1"/>
    <col min="12805" max="13057" width="9.109375" style="3"/>
    <col min="13058" max="13058" width="3" style="3" customWidth="1"/>
    <col min="13059" max="13059" width="59.33203125" style="3" bestFit="1" customWidth="1"/>
    <col min="13060" max="13060" width="2.33203125" style="3" customWidth="1"/>
    <col min="13061" max="13313" width="9.109375" style="3"/>
    <col min="13314" max="13314" width="3" style="3" customWidth="1"/>
    <col min="13315" max="13315" width="59.33203125" style="3" bestFit="1" customWidth="1"/>
    <col min="13316" max="13316" width="2.33203125" style="3" customWidth="1"/>
    <col min="13317" max="13569" width="9.109375" style="3"/>
    <col min="13570" max="13570" width="3" style="3" customWidth="1"/>
    <col min="13571" max="13571" width="59.33203125" style="3" bestFit="1" customWidth="1"/>
    <col min="13572" max="13572" width="2.33203125" style="3" customWidth="1"/>
    <col min="13573" max="13825" width="9.109375" style="3"/>
    <col min="13826" max="13826" width="3" style="3" customWidth="1"/>
    <col min="13827" max="13827" width="59.33203125" style="3" bestFit="1" customWidth="1"/>
    <col min="13828" max="13828" width="2.33203125" style="3" customWidth="1"/>
    <col min="13829" max="14081" width="9.109375" style="3"/>
    <col min="14082" max="14082" width="3" style="3" customWidth="1"/>
    <col min="14083" max="14083" width="59.33203125" style="3" bestFit="1" customWidth="1"/>
    <col min="14084" max="14084" width="2.33203125" style="3" customWidth="1"/>
    <col min="14085" max="14337" width="9.109375" style="3"/>
    <col min="14338" max="14338" width="3" style="3" customWidth="1"/>
    <col min="14339" max="14339" width="59.33203125" style="3" bestFit="1" customWidth="1"/>
    <col min="14340" max="14340" width="2.33203125" style="3" customWidth="1"/>
    <col min="14341" max="14593" width="9.109375" style="3"/>
    <col min="14594" max="14594" width="3" style="3" customWidth="1"/>
    <col min="14595" max="14595" width="59.33203125" style="3" bestFit="1" customWidth="1"/>
    <col min="14596" max="14596" width="2.33203125" style="3" customWidth="1"/>
    <col min="14597" max="14849" width="9.109375" style="3"/>
    <col min="14850" max="14850" width="3" style="3" customWidth="1"/>
    <col min="14851" max="14851" width="59.33203125" style="3" bestFit="1" customWidth="1"/>
    <col min="14852" max="14852" width="2.33203125" style="3" customWidth="1"/>
    <col min="14853" max="15105" width="9.109375" style="3"/>
    <col min="15106" max="15106" width="3" style="3" customWidth="1"/>
    <col min="15107" max="15107" width="59.33203125" style="3" bestFit="1" customWidth="1"/>
    <col min="15108" max="15108" width="2.33203125" style="3" customWidth="1"/>
    <col min="15109" max="15361" width="9.109375" style="3"/>
    <col min="15362" max="15362" width="3" style="3" customWidth="1"/>
    <col min="15363" max="15363" width="59.33203125" style="3" bestFit="1" customWidth="1"/>
    <col min="15364" max="15364" width="2.33203125" style="3" customWidth="1"/>
    <col min="15365" max="15617" width="9.109375" style="3"/>
    <col min="15618" max="15618" width="3" style="3" customWidth="1"/>
    <col min="15619" max="15619" width="59.33203125" style="3" bestFit="1" customWidth="1"/>
    <col min="15620" max="15620" width="2.33203125" style="3" customWidth="1"/>
    <col min="15621" max="15873" width="9.109375" style="3"/>
    <col min="15874" max="15874" width="3" style="3" customWidth="1"/>
    <col min="15875" max="15875" width="59.33203125" style="3" bestFit="1" customWidth="1"/>
    <col min="15876" max="15876" width="2.33203125" style="3" customWidth="1"/>
    <col min="15877" max="16129" width="9.109375" style="3"/>
    <col min="16130" max="16130" width="3" style="3" customWidth="1"/>
    <col min="16131" max="16131" width="59.33203125" style="3" bestFit="1" customWidth="1"/>
    <col min="16132" max="16132" width="2.33203125" style="3" customWidth="1"/>
    <col min="16133" max="16384" width="9.109375" style="3"/>
  </cols>
  <sheetData>
    <row r="1" spans="1:194" x14ac:dyDescent="0.3">
      <c r="T1" s="1"/>
      <c r="U1" s="1"/>
      <c r="V1" s="2"/>
      <c r="AJ1" s="4"/>
      <c r="AK1" s="4"/>
      <c r="AL1" s="5"/>
      <c r="AM1" s="5"/>
      <c r="AN1" s="6"/>
      <c r="AO1" s="4"/>
      <c r="AP1" s="4"/>
      <c r="AQ1" s="4"/>
      <c r="AR1" s="4"/>
      <c r="AS1" s="4"/>
      <c r="AT1" s="4"/>
      <c r="AU1" s="4"/>
      <c r="AV1" s="4"/>
      <c r="AW1" s="4"/>
      <c r="AX1" s="4"/>
      <c r="AY1" s="4"/>
      <c r="BB1" s="4"/>
      <c r="BC1" s="4"/>
      <c r="BD1" s="5"/>
      <c r="BE1" s="5"/>
      <c r="BF1" s="6"/>
      <c r="BG1" s="4"/>
      <c r="BH1" s="4"/>
      <c r="BI1" s="4"/>
      <c r="BJ1" s="4"/>
      <c r="BK1" s="4"/>
      <c r="BL1" s="4"/>
      <c r="BM1" s="4"/>
      <c r="BN1" s="4"/>
      <c r="BO1" s="4"/>
      <c r="BP1" s="4"/>
      <c r="BQ1" s="4"/>
      <c r="BT1" s="4"/>
      <c r="BU1" s="4"/>
      <c r="BV1" s="5"/>
      <c r="BW1" s="5"/>
      <c r="BX1" s="6"/>
      <c r="BY1" s="4"/>
      <c r="BZ1" s="4"/>
      <c r="CA1" s="4"/>
      <c r="CB1" s="4"/>
      <c r="CC1" s="4"/>
      <c r="CD1" s="4"/>
      <c r="CE1" s="4"/>
      <c r="CF1" s="4"/>
      <c r="CG1" s="4"/>
      <c r="CH1" s="4"/>
      <c r="CI1" s="4"/>
      <c r="CL1" s="4"/>
      <c r="CM1" s="4"/>
      <c r="CN1" s="5"/>
      <c r="CO1" s="5"/>
      <c r="CP1" s="6"/>
      <c r="CQ1" s="4"/>
      <c r="CR1" s="4"/>
      <c r="CS1" s="4"/>
      <c r="CT1" s="4"/>
      <c r="CU1" s="4"/>
      <c r="CV1" s="4"/>
      <c r="CW1" s="4"/>
      <c r="CX1" s="4"/>
      <c r="CY1" s="4"/>
      <c r="CZ1" s="4"/>
      <c r="DA1" s="4"/>
      <c r="DD1" s="4"/>
      <c r="DE1" s="4"/>
      <c r="DF1" s="5"/>
      <c r="DG1" s="5"/>
      <c r="DH1" s="6"/>
      <c r="DI1" s="4"/>
      <c r="DJ1" s="4"/>
      <c r="DK1" s="4"/>
      <c r="DL1" s="4"/>
      <c r="DM1" s="4"/>
      <c r="DN1" s="4"/>
      <c r="DO1" s="4"/>
      <c r="DP1" s="4"/>
      <c r="DQ1" s="4"/>
      <c r="DR1" s="4"/>
      <c r="DS1" s="4"/>
      <c r="DW1" s="24"/>
      <c r="DX1" s="57"/>
      <c r="DY1" s="57"/>
      <c r="DZ1" s="57"/>
      <c r="EA1" s="57"/>
      <c r="EB1" s="57"/>
      <c r="EC1" s="57"/>
      <c r="ED1" s="57"/>
      <c r="EE1" s="57"/>
      <c r="EF1" s="57"/>
      <c r="EG1" s="57"/>
      <c r="EH1" s="57"/>
      <c r="EI1" s="57"/>
      <c r="EJ1" s="58"/>
      <c r="EK1" s="58"/>
      <c r="EL1" s="58"/>
      <c r="EM1" s="58"/>
      <c r="EN1" s="58"/>
    </row>
    <row r="2" spans="1:194" ht="17.399999999999999" customHeight="1" x14ac:dyDescent="0.3">
      <c r="S2" s="4"/>
      <c r="T2" s="5"/>
      <c r="U2" s="5"/>
      <c r="V2" s="6"/>
      <c r="W2" s="4"/>
      <c r="X2" s="4"/>
      <c r="Y2" s="4"/>
      <c r="Z2" s="4"/>
      <c r="AA2" s="4"/>
      <c r="AB2" s="4"/>
      <c r="AC2" s="4"/>
      <c r="AD2" s="4"/>
      <c r="AE2" s="4"/>
      <c r="AF2" s="4"/>
      <c r="AG2" s="4"/>
      <c r="AJ2" s="4"/>
      <c r="AK2" s="4"/>
      <c r="AL2" s="5"/>
      <c r="AM2" s="5"/>
      <c r="AN2" s="6"/>
      <c r="AO2" s="4"/>
      <c r="AP2" s="4"/>
      <c r="AQ2" s="4"/>
      <c r="AR2" s="4"/>
      <c r="AS2" s="4"/>
      <c r="AT2" s="4"/>
      <c r="AU2" s="4"/>
      <c r="AV2" s="4"/>
      <c r="AW2" s="4"/>
      <c r="AX2" s="4"/>
      <c r="AY2" s="4"/>
      <c r="BB2" s="4"/>
      <c r="BC2" s="4"/>
      <c r="BD2" s="5"/>
      <c r="BE2" s="5"/>
      <c r="BF2" s="6"/>
      <c r="BG2" s="4"/>
      <c r="BH2" s="4"/>
      <c r="BI2" s="4"/>
      <c r="BJ2" s="4"/>
      <c r="BK2" s="4"/>
      <c r="BL2" s="4"/>
      <c r="BM2" s="4"/>
      <c r="BN2" s="4"/>
      <c r="BO2" s="4"/>
      <c r="BP2" s="4"/>
      <c r="BQ2" s="4"/>
      <c r="BT2" s="4"/>
      <c r="BU2" s="4"/>
      <c r="BV2" s="5"/>
      <c r="BW2" s="5"/>
      <c r="BX2" s="6"/>
      <c r="BY2" s="4"/>
      <c r="BZ2" s="4"/>
      <c r="CA2" s="4"/>
      <c r="CB2" s="4"/>
      <c r="CC2" s="4"/>
      <c r="CD2" s="4"/>
      <c r="CE2" s="4"/>
      <c r="CF2" s="4"/>
      <c r="CG2" s="4"/>
      <c r="CH2" s="4"/>
      <c r="CI2" s="4"/>
      <c r="CL2" s="4"/>
      <c r="CM2" s="4"/>
      <c r="CN2" s="5"/>
      <c r="CO2" s="5"/>
      <c r="CP2" s="6"/>
      <c r="CQ2" s="4"/>
      <c r="CR2" s="4"/>
      <c r="CS2" s="4"/>
      <c r="CT2" s="4"/>
      <c r="CU2" s="4"/>
      <c r="CV2" s="4"/>
      <c r="CW2" s="4"/>
      <c r="CX2" s="4"/>
      <c r="CY2" s="4"/>
      <c r="CZ2" s="4"/>
      <c r="DA2" s="4"/>
      <c r="DD2" s="4"/>
      <c r="DE2" s="4"/>
      <c r="DF2" s="5"/>
      <c r="DG2" s="5"/>
      <c r="DH2" s="6"/>
      <c r="DI2" s="4"/>
      <c r="DJ2" s="4"/>
      <c r="DK2" s="4"/>
      <c r="DL2" s="4"/>
      <c r="DM2" s="4"/>
      <c r="DN2" s="4"/>
      <c r="DO2" s="4"/>
      <c r="DP2" s="4"/>
      <c r="DQ2" s="4"/>
      <c r="DR2" s="4"/>
      <c r="DS2" s="4"/>
      <c r="DW2" s="27"/>
      <c r="DX2" s="59"/>
      <c r="DY2" s="59"/>
      <c r="DZ2" s="59"/>
      <c r="EA2" s="59"/>
      <c r="EB2" s="59"/>
      <c r="EC2" s="59"/>
      <c r="ED2" s="59"/>
      <c r="EE2" s="59"/>
      <c r="EF2" s="59"/>
      <c r="EG2" s="59"/>
      <c r="EH2" s="59"/>
      <c r="EI2" s="59"/>
      <c r="EJ2" s="58"/>
      <c r="EK2" s="58"/>
      <c r="EL2" s="58"/>
      <c r="EM2" s="58"/>
      <c r="EN2" s="58"/>
    </row>
    <row r="3" spans="1:194" s="9" customFormat="1" ht="34.950000000000003" customHeight="1" x14ac:dyDescent="0.3">
      <c r="A3" s="53" t="s">
        <v>154</v>
      </c>
      <c r="B3" s="7" t="s">
        <v>0</v>
      </c>
      <c r="C3" s="8"/>
      <c r="D3" s="2"/>
      <c r="S3" s="53" t="s">
        <v>155</v>
      </c>
      <c r="T3" s="140" t="s">
        <v>12</v>
      </c>
      <c r="U3" s="140"/>
      <c r="V3" s="140"/>
      <c r="W3" s="140"/>
      <c r="X3" s="10"/>
      <c r="Y3" s="10"/>
      <c r="Z3" s="10"/>
      <c r="AA3" s="10"/>
      <c r="AB3" s="10"/>
      <c r="AC3" s="10"/>
      <c r="AD3" s="10"/>
      <c r="AE3" s="10"/>
      <c r="AF3" s="10"/>
      <c r="AG3" s="10"/>
      <c r="AJ3" s="10"/>
      <c r="AK3" s="53" t="s">
        <v>156</v>
      </c>
      <c r="AL3" s="11" t="s">
        <v>22</v>
      </c>
      <c r="AM3" s="12"/>
      <c r="AN3" s="6"/>
      <c r="AO3" s="10"/>
      <c r="AP3" s="10"/>
      <c r="AQ3" s="10"/>
      <c r="AR3" s="10"/>
      <c r="AS3" s="10"/>
      <c r="AT3" s="10"/>
      <c r="AU3" s="10"/>
      <c r="AV3" s="10"/>
      <c r="AW3" s="10"/>
      <c r="AX3" s="10"/>
      <c r="AY3" s="10"/>
      <c r="BB3" s="10"/>
      <c r="BC3" s="53" t="s">
        <v>157</v>
      </c>
      <c r="BD3" s="141" t="s">
        <v>32</v>
      </c>
      <c r="BE3" s="141"/>
      <c r="BF3" s="141"/>
      <c r="BG3" s="10"/>
      <c r="BH3" s="10"/>
      <c r="BI3" s="10"/>
      <c r="BJ3" s="10"/>
      <c r="BK3" s="10"/>
      <c r="BL3" s="10"/>
      <c r="BM3" s="10"/>
      <c r="BN3" s="10"/>
      <c r="BO3" s="10"/>
      <c r="BP3" s="10"/>
      <c r="BQ3" s="10"/>
      <c r="BT3" s="13"/>
      <c r="BU3" s="53" t="s">
        <v>158</v>
      </c>
      <c r="BV3" s="11" t="s">
        <v>42</v>
      </c>
      <c r="BW3" s="14"/>
      <c r="BX3" s="6"/>
      <c r="BY3" s="13"/>
      <c r="BZ3" s="13"/>
      <c r="CA3" s="13"/>
      <c r="CB3" s="13"/>
      <c r="CC3" s="13"/>
      <c r="CD3" s="13"/>
      <c r="CE3" s="13"/>
      <c r="CF3" s="13"/>
      <c r="CG3" s="13"/>
      <c r="CH3" s="13"/>
      <c r="CI3" s="13"/>
      <c r="CL3" s="13"/>
      <c r="CM3" s="53" t="s">
        <v>159</v>
      </c>
      <c r="CN3" s="141" t="s">
        <v>52</v>
      </c>
      <c r="CO3" s="141"/>
      <c r="CP3" s="141"/>
      <c r="CQ3" s="141"/>
      <c r="CR3" s="11"/>
      <c r="CS3" s="11"/>
      <c r="CT3" s="11"/>
      <c r="CU3" s="13"/>
      <c r="CV3" s="13"/>
      <c r="CW3" s="13"/>
      <c r="CX3" s="13"/>
      <c r="CY3" s="13"/>
      <c r="CZ3" s="13"/>
      <c r="DA3" s="13"/>
      <c r="DD3" s="13"/>
      <c r="DE3" s="53" t="s">
        <v>160</v>
      </c>
      <c r="DF3" s="141" t="s">
        <v>62</v>
      </c>
      <c r="DG3" s="141"/>
      <c r="DH3" s="141"/>
      <c r="DI3" s="141"/>
      <c r="DJ3" s="11"/>
      <c r="DK3" s="11"/>
      <c r="DL3" s="13"/>
      <c r="DM3" s="13"/>
      <c r="DN3" s="13"/>
      <c r="DO3" s="13"/>
      <c r="DP3" s="13"/>
      <c r="DQ3" s="13"/>
      <c r="DR3" s="13"/>
      <c r="DS3" s="13"/>
      <c r="DW3" s="27"/>
      <c r="DX3" s="142" t="str">
        <f>CONCATENATE("Results Belbin test per section of ",Start!C7)</f>
        <v xml:space="preserve">Results Belbin test per section of </v>
      </c>
      <c r="DY3" s="142"/>
      <c r="DZ3" s="142"/>
      <c r="EA3" s="142"/>
      <c r="EB3" s="142"/>
      <c r="EC3" s="142"/>
      <c r="ED3" s="142"/>
      <c r="EE3" s="142"/>
      <c r="EF3" s="142"/>
      <c r="EG3" s="142"/>
      <c r="EH3" s="142"/>
      <c r="EI3" s="59"/>
      <c r="EJ3" s="60"/>
      <c r="EK3" s="60"/>
      <c r="EL3" s="60"/>
      <c r="EM3" s="60"/>
      <c r="EN3" s="60"/>
    </row>
    <row r="4" spans="1:194" ht="18" thickBot="1" x14ac:dyDescent="0.35">
      <c r="S4" s="4"/>
      <c r="T4" s="15"/>
      <c r="U4" s="15"/>
      <c r="V4" s="6"/>
      <c r="W4" s="4"/>
      <c r="X4" s="4"/>
      <c r="Y4" s="4"/>
      <c r="Z4" s="4"/>
      <c r="AA4" s="4"/>
      <c r="AB4" s="4"/>
      <c r="AC4" s="4"/>
      <c r="AD4" s="4"/>
      <c r="AE4" s="4"/>
      <c r="AF4" s="4"/>
      <c r="AG4" s="4"/>
      <c r="AJ4" s="4"/>
      <c r="AK4" s="4"/>
      <c r="AL4" s="15"/>
      <c r="AM4" s="15"/>
      <c r="AN4" s="6"/>
      <c r="AO4" s="4"/>
      <c r="AP4" s="4"/>
      <c r="AQ4" s="4"/>
      <c r="AR4" s="4"/>
      <c r="AS4" s="4"/>
      <c r="AT4" s="4"/>
      <c r="AU4" s="4"/>
      <c r="AV4" s="4"/>
      <c r="AW4" s="4"/>
      <c r="AX4" s="4"/>
      <c r="AY4" s="4"/>
      <c r="BB4" s="4"/>
      <c r="BC4" s="4"/>
      <c r="BD4" s="15"/>
      <c r="BE4" s="15"/>
      <c r="BF4" s="6"/>
      <c r="BG4" s="4"/>
      <c r="BH4" s="4"/>
      <c r="BI4" s="4"/>
      <c r="BJ4" s="4"/>
      <c r="BK4" s="4"/>
      <c r="BL4" s="4"/>
      <c r="BM4" s="4"/>
      <c r="BN4" s="4"/>
      <c r="BO4" s="4"/>
      <c r="BP4" s="4"/>
      <c r="BQ4" s="4"/>
      <c r="BT4" s="4"/>
      <c r="BU4" s="4"/>
      <c r="BV4" s="15"/>
      <c r="BW4" s="15"/>
      <c r="BX4" s="6"/>
      <c r="BY4" s="4"/>
      <c r="BZ4" s="4"/>
      <c r="CA4" s="4"/>
      <c r="CB4" s="4"/>
      <c r="CC4" s="4"/>
      <c r="CD4" s="4"/>
      <c r="CE4" s="4"/>
      <c r="CF4" s="4"/>
      <c r="CG4" s="4"/>
      <c r="CH4" s="4"/>
      <c r="CI4" s="4"/>
      <c r="CL4" s="4"/>
      <c r="CM4" s="4"/>
      <c r="CN4" s="15"/>
      <c r="CO4" s="15"/>
      <c r="CP4" s="6"/>
      <c r="CQ4" s="4"/>
      <c r="CR4" s="4"/>
      <c r="CS4" s="4"/>
      <c r="CT4" s="4"/>
      <c r="CU4" s="4"/>
      <c r="CV4" s="4"/>
      <c r="CW4" s="4"/>
      <c r="CX4" s="4"/>
      <c r="CY4" s="4"/>
      <c r="CZ4" s="4"/>
      <c r="DA4" s="4"/>
      <c r="DD4" s="4"/>
      <c r="DE4" s="4"/>
      <c r="DF4" s="15"/>
      <c r="DG4" s="15"/>
      <c r="DH4" s="6"/>
      <c r="DI4" s="4"/>
      <c r="DJ4" s="4"/>
      <c r="DK4" s="4"/>
      <c r="DL4" s="4"/>
      <c r="DM4" s="4"/>
      <c r="DN4" s="4"/>
      <c r="DO4" s="4"/>
      <c r="DP4" s="4"/>
      <c r="DQ4" s="4"/>
      <c r="DR4" s="4"/>
      <c r="DS4" s="4"/>
      <c r="DW4" s="27"/>
      <c r="DX4" s="137" t="s">
        <v>72</v>
      </c>
      <c r="DY4" s="138"/>
      <c r="DZ4" s="137" t="s">
        <v>73</v>
      </c>
      <c r="EA4" s="139"/>
      <c r="EB4" s="139"/>
      <c r="EC4" s="139"/>
      <c r="ED4" s="139"/>
      <c r="EE4" s="139"/>
      <c r="EF4" s="139"/>
      <c r="EG4" s="139"/>
      <c r="EH4" s="138"/>
      <c r="EI4" s="59"/>
      <c r="EJ4" s="59"/>
      <c r="EK4" s="130" t="s">
        <v>81</v>
      </c>
      <c r="EL4" s="131"/>
      <c r="EM4" s="131"/>
      <c r="EN4" s="132"/>
      <c r="EU4" s="28"/>
      <c r="EV4" s="28">
        <f>Start!C7</f>
        <v>0</v>
      </c>
    </row>
    <row r="5" spans="1:194" s="17" customFormat="1" ht="31.95" customHeight="1" thickTop="1" thickBot="1" x14ac:dyDescent="0.35">
      <c r="B5" s="16" t="s">
        <v>1</v>
      </c>
      <c r="C5" s="16"/>
      <c r="D5" s="41"/>
      <c r="F5" s="133" t="s">
        <v>2</v>
      </c>
      <c r="G5" s="134"/>
      <c r="H5" s="134"/>
      <c r="I5" s="134"/>
      <c r="J5" s="134"/>
      <c r="K5" s="134"/>
      <c r="L5" s="134"/>
      <c r="M5" s="134"/>
      <c r="N5" s="134"/>
      <c r="S5" s="18"/>
      <c r="T5" s="19" t="s">
        <v>13</v>
      </c>
      <c r="U5" s="19"/>
      <c r="V5" s="41"/>
      <c r="W5" s="18"/>
      <c r="X5" s="135" t="s">
        <v>2</v>
      </c>
      <c r="Y5" s="136"/>
      <c r="Z5" s="136"/>
      <c r="AA5" s="136"/>
      <c r="AB5" s="136"/>
      <c r="AC5" s="136"/>
      <c r="AD5" s="136"/>
      <c r="AE5" s="136"/>
      <c r="AF5" s="136"/>
      <c r="AG5" s="18"/>
      <c r="AJ5" s="18"/>
      <c r="AK5" s="18"/>
      <c r="AL5" s="19" t="s">
        <v>23</v>
      </c>
      <c r="AM5" s="19"/>
      <c r="AN5" s="41"/>
      <c r="AO5" s="18"/>
      <c r="AP5" s="135" t="s">
        <v>2</v>
      </c>
      <c r="AQ5" s="136"/>
      <c r="AR5" s="136"/>
      <c r="AS5" s="136"/>
      <c r="AT5" s="136"/>
      <c r="AU5" s="136"/>
      <c r="AV5" s="136"/>
      <c r="AW5" s="136"/>
      <c r="AX5" s="136"/>
      <c r="AY5" s="18"/>
      <c r="BB5" s="18"/>
      <c r="BC5" s="18"/>
      <c r="BD5" s="19" t="s">
        <v>33</v>
      </c>
      <c r="BE5" s="19"/>
      <c r="BF5" s="41"/>
      <c r="BG5" s="18"/>
      <c r="BH5" s="135" t="s">
        <v>2</v>
      </c>
      <c r="BI5" s="136"/>
      <c r="BJ5" s="136"/>
      <c r="BK5" s="136"/>
      <c r="BL5" s="136"/>
      <c r="BM5" s="136"/>
      <c r="BN5" s="136"/>
      <c r="BO5" s="136"/>
      <c r="BP5" s="136"/>
      <c r="BQ5" s="18"/>
      <c r="BT5" s="18"/>
      <c r="BU5" s="18"/>
      <c r="BV5" s="19" t="s">
        <v>43</v>
      </c>
      <c r="BW5" s="19"/>
      <c r="BX5" s="41"/>
      <c r="BY5" s="18"/>
      <c r="BZ5" s="135" t="s">
        <v>2</v>
      </c>
      <c r="CA5" s="136"/>
      <c r="CB5" s="136"/>
      <c r="CC5" s="136"/>
      <c r="CD5" s="136"/>
      <c r="CE5" s="136"/>
      <c r="CF5" s="136"/>
      <c r="CG5" s="136"/>
      <c r="CH5" s="136"/>
      <c r="CI5" s="18"/>
      <c r="CL5" s="18"/>
      <c r="CM5" s="18"/>
      <c r="CN5" s="19" t="s">
        <v>53</v>
      </c>
      <c r="CO5" s="19"/>
      <c r="CP5" s="41"/>
      <c r="CQ5" s="18"/>
      <c r="CR5" s="135" t="s">
        <v>2</v>
      </c>
      <c r="CS5" s="136"/>
      <c r="CT5" s="136"/>
      <c r="CU5" s="136"/>
      <c r="CV5" s="136"/>
      <c r="CW5" s="136"/>
      <c r="CX5" s="136"/>
      <c r="CY5" s="136"/>
      <c r="CZ5" s="136"/>
      <c r="DA5" s="18"/>
      <c r="DD5" s="4"/>
      <c r="DE5" s="4"/>
      <c r="DF5" s="15" t="s">
        <v>63</v>
      </c>
      <c r="DG5" s="15"/>
      <c r="DH5" s="41"/>
      <c r="DI5" s="4"/>
      <c r="DJ5" s="135" t="s">
        <v>2</v>
      </c>
      <c r="DK5" s="136"/>
      <c r="DL5" s="136"/>
      <c r="DM5" s="136"/>
      <c r="DN5" s="136"/>
      <c r="DO5" s="136"/>
      <c r="DP5" s="136"/>
      <c r="DQ5" s="136"/>
      <c r="DR5" s="136"/>
      <c r="DS5" s="4"/>
      <c r="DW5" s="27"/>
      <c r="DX5" s="56" t="s">
        <v>74</v>
      </c>
      <c r="DY5" s="56"/>
      <c r="DZ5" s="80">
        <f>D9</f>
        <v>0</v>
      </c>
      <c r="EA5" s="80">
        <f>D13</f>
        <v>0</v>
      </c>
      <c r="EB5" s="80">
        <f>D21</f>
        <v>0</v>
      </c>
      <c r="EC5" s="80">
        <f>D19</f>
        <v>0</v>
      </c>
      <c r="ED5" s="80">
        <f>D5</f>
        <v>0</v>
      </c>
      <c r="EE5" s="80">
        <f>D17</f>
        <v>0</v>
      </c>
      <c r="EF5" s="80">
        <f>D7</f>
        <v>0</v>
      </c>
      <c r="EG5" s="80">
        <f>D11</f>
        <v>0</v>
      </c>
      <c r="EH5" s="80">
        <f>D15</f>
        <v>0</v>
      </c>
      <c r="EI5" s="59"/>
      <c r="EJ5" s="61"/>
      <c r="EK5" s="62" t="s">
        <v>82</v>
      </c>
      <c r="EL5" s="63"/>
      <c r="EM5" s="64">
        <f>DZ19</f>
        <v>0</v>
      </c>
      <c r="EN5" s="65"/>
      <c r="EO5" s="26"/>
      <c r="EU5" s="54" t="str">
        <f>EK5</f>
        <v>Implementor</v>
      </c>
      <c r="EV5" s="54">
        <f>EM5</f>
        <v>0</v>
      </c>
    </row>
    <row r="6" spans="1:194" ht="4.95" customHeight="1" thickTop="1" thickBot="1" x14ac:dyDescent="0.35">
      <c r="F6" s="134"/>
      <c r="G6" s="134"/>
      <c r="H6" s="134"/>
      <c r="I6" s="134"/>
      <c r="J6" s="134"/>
      <c r="K6" s="134"/>
      <c r="L6" s="134"/>
      <c r="M6" s="134"/>
      <c r="N6" s="134"/>
      <c r="S6" s="4"/>
      <c r="T6" s="15"/>
      <c r="U6" s="15"/>
      <c r="V6" s="2"/>
      <c r="W6" s="4"/>
      <c r="X6" s="136"/>
      <c r="Y6" s="136"/>
      <c r="Z6" s="136"/>
      <c r="AA6" s="136"/>
      <c r="AB6" s="136"/>
      <c r="AC6" s="136"/>
      <c r="AD6" s="136"/>
      <c r="AE6" s="136"/>
      <c r="AF6" s="136"/>
      <c r="AG6" s="4"/>
      <c r="AJ6" s="4"/>
      <c r="AK6" s="4"/>
      <c r="AL6" s="15"/>
      <c r="AM6" s="15"/>
      <c r="AN6" s="2"/>
      <c r="AO6" s="4"/>
      <c r="AP6" s="136"/>
      <c r="AQ6" s="136"/>
      <c r="AR6" s="136"/>
      <c r="AS6" s="136"/>
      <c r="AT6" s="136"/>
      <c r="AU6" s="136"/>
      <c r="AV6" s="136"/>
      <c r="AW6" s="136"/>
      <c r="AX6" s="136"/>
      <c r="AY6" s="4"/>
      <c r="BB6" s="4"/>
      <c r="BC6" s="4"/>
      <c r="BD6" s="15"/>
      <c r="BE6" s="15"/>
      <c r="BF6" s="2"/>
      <c r="BG6" s="4"/>
      <c r="BH6" s="136"/>
      <c r="BI6" s="136"/>
      <c r="BJ6" s="136"/>
      <c r="BK6" s="136"/>
      <c r="BL6" s="136"/>
      <c r="BM6" s="136"/>
      <c r="BN6" s="136"/>
      <c r="BO6" s="136"/>
      <c r="BP6" s="136"/>
      <c r="BQ6" s="4"/>
      <c r="BT6" s="4"/>
      <c r="BU6" s="4"/>
      <c r="BV6" s="15"/>
      <c r="BW6" s="15"/>
      <c r="BX6" s="2"/>
      <c r="BY6" s="4"/>
      <c r="BZ6" s="136"/>
      <c r="CA6" s="136"/>
      <c r="CB6" s="136"/>
      <c r="CC6" s="136"/>
      <c r="CD6" s="136"/>
      <c r="CE6" s="136"/>
      <c r="CF6" s="136"/>
      <c r="CG6" s="136"/>
      <c r="CH6" s="136"/>
      <c r="CI6" s="4"/>
      <c r="CL6" s="4"/>
      <c r="CM6" s="4"/>
      <c r="CN6" s="15"/>
      <c r="CO6" s="15"/>
      <c r="CP6" s="2"/>
      <c r="CQ6" s="4"/>
      <c r="CR6" s="136"/>
      <c r="CS6" s="136"/>
      <c r="CT6" s="136"/>
      <c r="CU6" s="136"/>
      <c r="CV6" s="136"/>
      <c r="CW6" s="136"/>
      <c r="CX6" s="136"/>
      <c r="CY6" s="136"/>
      <c r="CZ6" s="136"/>
      <c r="DA6" s="4"/>
      <c r="DD6" s="4"/>
      <c r="DE6" s="4"/>
      <c r="DF6" s="15"/>
      <c r="DG6" s="15"/>
      <c r="DH6" s="2"/>
      <c r="DI6" s="4"/>
      <c r="DJ6" s="136"/>
      <c r="DK6" s="136"/>
      <c r="DL6" s="136"/>
      <c r="DM6" s="136"/>
      <c r="DN6" s="136"/>
      <c r="DO6" s="136"/>
      <c r="DP6" s="136"/>
      <c r="DQ6" s="136"/>
      <c r="DR6" s="136"/>
      <c r="DS6" s="4"/>
      <c r="DW6" s="27"/>
      <c r="DX6" s="66"/>
      <c r="DY6" s="66"/>
      <c r="DZ6" s="66"/>
      <c r="EA6" s="66"/>
      <c r="EB6" s="66"/>
      <c r="EC6" s="66"/>
      <c r="ED6" s="66"/>
      <c r="EE6" s="66"/>
      <c r="EF6" s="66"/>
      <c r="EG6" s="66"/>
      <c r="EH6" s="66"/>
      <c r="EI6" s="59"/>
      <c r="EJ6" s="58"/>
      <c r="EK6" s="67"/>
      <c r="EL6" s="58"/>
      <c r="EM6" s="64"/>
      <c r="EN6" s="68"/>
      <c r="EO6" s="25"/>
      <c r="EU6" s="54" t="str">
        <f>EK7</f>
        <v>Coordinator</v>
      </c>
      <c r="EV6" s="54">
        <f>EM7</f>
        <v>0</v>
      </c>
    </row>
    <row r="7" spans="1:194" s="17" customFormat="1" ht="31.95" customHeight="1" thickTop="1" thickBot="1" x14ac:dyDescent="0.35">
      <c r="B7" s="16" t="s">
        <v>3</v>
      </c>
      <c r="C7" s="16"/>
      <c r="D7" s="41"/>
      <c r="F7" s="134"/>
      <c r="G7" s="134"/>
      <c r="H7" s="134"/>
      <c r="I7" s="134"/>
      <c r="J7" s="134"/>
      <c r="K7" s="134"/>
      <c r="L7" s="134"/>
      <c r="M7" s="134"/>
      <c r="N7" s="134"/>
      <c r="S7" s="18"/>
      <c r="T7" s="19" t="s">
        <v>14</v>
      </c>
      <c r="U7" s="19"/>
      <c r="V7" s="41"/>
      <c r="W7" s="18"/>
      <c r="X7" s="136"/>
      <c r="Y7" s="136"/>
      <c r="Z7" s="136"/>
      <c r="AA7" s="136"/>
      <c r="AB7" s="136"/>
      <c r="AC7" s="136"/>
      <c r="AD7" s="136"/>
      <c r="AE7" s="136"/>
      <c r="AF7" s="136"/>
      <c r="AG7" s="18"/>
      <c r="AJ7" s="18"/>
      <c r="AK7" s="18"/>
      <c r="AL7" s="19" t="s">
        <v>24</v>
      </c>
      <c r="AM7" s="19"/>
      <c r="AN7" s="41"/>
      <c r="AO7" s="18"/>
      <c r="AP7" s="136"/>
      <c r="AQ7" s="136"/>
      <c r="AR7" s="136"/>
      <c r="AS7" s="136"/>
      <c r="AT7" s="136"/>
      <c r="AU7" s="136"/>
      <c r="AV7" s="136"/>
      <c r="AW7" s="136"/>
      <c r="AX7" s="136"/>
      <c r="AY7" s="18"/>
      <c r="BB7" s="18"/>
      <c r="BC7" s="18"/>
      <c r="BD7" s="19" t="s">
        <v>34</v>
      </c>
      <c r="BE7" s="19"/>
      <c r="BF7" s="41"/>
      <c r="BG7" s="18"/>
      <c r="BH7" s="136"/>
      <c r="BI7" s="136"/>
      <c r="BJ7" s="136"/>
      <c r="BK7" s="136"/>
      <c r="BL7" s="136"/>
      <c r="BM7" s="136"/>
      <c r="BN7" s="136"/>
      <c r="BO7" s="136"/>
      <c r="BP7" s="136"/>
      <c r="BQ7" s="18"/>
      <c r="BT7" s="18"/>
      <c r="BU7" s="18"/>
      <c r="BV7" s="19" t="s">
        <v>44</v>
      </c>
      <c r="BW7" s="19"/>
      <c r="BX7" s="41"/>
      <c r="BY7" s="18"/>
      <c r="BZ7" s="136"/>
      <c r="CA7" s="136"/>
      <c r="CB7" s="136"/>
      <c r="CC7" s="136"/>
      <c r="CD7" s="136"/>
      <c r="CE7" s="136"/>
      <c r="CF7" s="136"/>
      <c r="CG7" s="136"/>
      <c r="CH7" s="136"/>
      <c r="CI7" s="18"/>
      <c r="CL7" s="18"/>
      <c r="CM7" s="18"/>
      <c r="CN7" s="19" t="s">
        <v>54</v>
      </c>
      <c r="CO7" s="19"/>
      <c r="CP7" s="41"/>
      <c r="CQ7" s="18"/>
      <c r="CR7" s="136"/>
      <c r="CS7" s="136"/>
      <c r="CT7" s="136"/>
      <c r="CU7" s="136"/>
      <c r="CV7" s="136"/>
      <c r="CW7" s="136"/>
      <c r="CX7" s="136"/>
      <c r="CY7" s="136"/>
      <c r="CZ7" s="136"/>
      <c r="DA7" s="18"/>
      <c r="DD7" s="4"/>
      <c r="DE7" s="4"/>
      <c r="DF7" s="15" t="s">
        <v>64</v>
      </c>
      <c r="DG7" s="15"/>
      <c r="DH7" s="41"/>
      <c r="DI7" s="4"/>
      <c r="DJ7" s="136"/>
      <c r="DK7" s="136"/>
      <c r="DL7" s="136"/>
      <c r="DM7" s="136"/>
      <c r="DN7" s="136"/>
      <c r="DO7" s="136"/>
      <c r="DP7" s="136"/>
      <c r="DQ7" s="136"/>
      <c r="DR7" s="136"/>
      <c r="DS7" s="4"/>
      <c r="DW7" s="27"/>
      <c r="DX7" s="56" t="s">
        <v>75</v>
      </c>
      <c r="DY7" s="56"/>
      <c r="DZ7" s="81">
        <f>V5</f>
        <v>0</v>
      </c>
      <c r="EA7" s="81">
        <f>V17</f>
        <v>0</v>
      </c>
      <c r="EB7" s="81">
        <f>V15</f>
        <v>0</v>
      </c>
      <c r="EC7" s="81">
        <f>V11</f>
        <v>0</v>
      </c>
      <c r="ED7" s="81">
        <f>V21</f>
        <v>0</v>
      </c>
      <c r="EE7" s="81">
        <f>V7</f>
        <v>0</v>
      </c>
      <c r="EF7" s="81">
        <f>V9</f>
        <v>0</v>
      </c>
      <c r="EG7" s="81">
        <f>V13</f>
        <v>0</v>
      </c>
      <c r="EH7" s="81">
        <f>V19</f>
        <v>0</v>
      </c>
      <c r="EI7" s="59"/>
      <c r="EJ7" s="61"/>
      <c r="EK7" s="74" t="s">
        <v>83</v>
      </c>
      <c r="EL7" s="75"/>
      <c r="EM7" s="64">
        <f>EA19</f>
        <v>0</v>
      </c>
      <c r="EN7" s="65"/>
      <c r="EO7" s="26"/>
      <c r="EU7" s="54" t="str">
        <f>EK9</f>
        <v>Shaper</v>
      </c>
      <c r="EV7" s="54">
        <f>EM9</f>
        <v>0</v>
      </c>
    </row>
    <row r="8" spans="1:194" ht="4.95" customHeight="1" thickTop="1" thickBot="1" x14ac:dyDescent="0.35">
      <c r="S8" s="4"/>
      <c r="T8" s="15"/>
      <c r="U8" s="15"/>
      <c r="V8" s="2"/>
      <c r="W8" s="4"/>
      <c r="X8" s="4"/>
      <c r="Y8" s="4"/>
      <c r="Z8" s="4"/>
      <c r="AA8" s="4"/>
      <c r="AB8" s="4"/>
      <c r="AC8" s="4"/>
      <c r="AD8" s="4"/>
      <c r="AE8" s="4"/>
      <c r="AF8" s="4"/>
      <c r="AG8" s="4"/>
      <c r="AJ8" s="4"/>
      <c r="AK8" s="4"/>
      <c r="AL8" s="15"/>
      <c r="AM8" s="15"/>
      <c r="AN8" s="2"/>
      <c r="AO8" s="4"/>
      <c r="AP8" s="4"/>
      <c r="AQ8" s="4"/>
      <c r="AR8" s="4"/>
      <c r="AS8" s="4"/>
      <c r="AT8" s="4"/>
      <c r="AU8" s="4"/>
      <c r="AV8" s="4"/>
      <c r="AW8" s="4"/>
      <c r="AX8" s="4"/>
      <c r="AY8" s="4"/>
      <c r="BB8" s="4"/>
      <c r="BC8" s="4"/>
      <c r="BD8" s="15"/>
      <c r="BE8" s="15"/>
      <c r="BF8" s="2"/>
      <c r="BG8" s="4"/>
      <c r="BH8" s="4"/>
      <c r="BI8" s="4"/>
      <c r="BJ8" s="4"/>
      <c r="BK8" s="4"/>
      <c r="BL8" s="4"/>
      <c r="BM8" s="4"/>
      <c r="BN8" s="4"/>
      <c r="BO8" s="4"/>
      <c r="BP8" s="4"/>
      <c r="BQ8" s="4"/>
      <c r="BT8" s="4"/>
      <c r="BU8" s="4"/>
      <c r="BV8" s="15"/>
      <c r="BW8" s="15"/>
      <c r="BX8" s="2"/>
      <c r="BY8" s="4"/>
      <c r="BZ8" s="4"/>
      <c r="CA8" s="4"/>
      <c r="CB8" s="4"/>
      <c r="CC8" s="4"/>
      <c r="CD8" s="4"/>
      <c r="CE8" s="4"/>
      <c r="CF8" s="4"/>
      <c r="CG8" s="4"/>
      <c r="CH8" s="4"/>
      <c r="CI8" s="4"/>
      <c r="CL8" s="4"/>
      <c r="CM8" s="4"/>
      <c r="CN8" s="15"/>
      <c r="CO8" s="15"/>
      <c r="CP8" s="2"/>
      <c r="CQ8" s="4"/>
      <c r="CR8" s="4"/>
      <c r="CS8" s="4"/>
      <c r="CT8" s="4"/>
      <c r="CU8" s="4"/>
      <c r="CV8" s="4"/>
      <c r="CW8" s="4"/>
      <c r="CX8" s="4"/>
      <c r="CY8" s="4"/>
      <c r="CZ8" s="4"/>
      <c r="DA8" s="4"/>
      <c r="DD8" s="4"/>
      <c r="DE8" s="4"/>
      <c r="DF8" s="15"/>
      <c r="DG8" s="15"/>
      <c r="DH8" s="2"/>
      <c r="DI8" s="4"/>
      <c r="DJ8" s="4"/>
      <c r="DK8" s="4"/>
      <c r="DL8" s="4"/>
      <c r="DM8" s="4"/>
      <c r="DN8" s="4"/>
      <c r="DO8" s="4"/>
      <c r="DP8" s="4"/>
      <c r="DQ8" s="4"/>
      <c r="DR8" s="4"/>
      <c r="DS8" s="4"/>
      <c r="DW8" s="27"/>
      <c r="DX8" s="66"/>
      <c r="DY8" s="66"/>
      <c r="DZ8" s="66"/>
      <c r="EA8" s="66"/>
      <c r="EB8" s="66"/>
      <c r="EC8" s="66"/>
      <c r="ED8" s="66"/>
      <c r="EE8" s="66"/>
      <c r="EF8" s="66"/>
      <c r="EG8" s="66"/>
      <c r="EH8" s="66"/>
      <c r="EI8" s="59"/>
      <c r="EJ8" s="58"/>
      <c r="EK8" s="67"/>
      <c r="EL8" s="58"/>
      <c r="EM8" s="64"/>
      <c r="EN8" s="68"/>
      <c r="EO8" s="25"/>
      <c r="EU8" s="54" t="str">
        <f>EK11</f>
        <v>Plant</v>
      </c>
      <c r="EV8" s="54">
        <f>EM11</f>
        <v>0</v>
      </c>
    </row>
    <row r="9" spans="1:194" s="17" customFormat="1" ht="31.95" customHeight="1" thickTop="1" thickBot="1" x14ac:dyDescent="0.35">
      <c r="B9" s="16" t="s">
        <v>4</v>
      </c>
      <c r="C9" s="16"/>
      <c r="D9" s="41"/>
      <c r="S9" s="18"/>
      <c r="T9" s="19" t="s">
        <v>15</v>
      </c>
      <c r="U9" s="19"/>
      <c r="V9" s="41"/>
      <c r="W9" s="18"/>
      <c r="X9" s="18"/>
      <c r="Y9" s="18"/>
      <c r="Z9" s="18"/>
      <c r="AA9" s="18"/>
      <c r="AB9" s="18"/>
      <c r="AC9" s="18"/>
      <c r="AD9" s="18"/>
      <c r="AE9" s="18"/>
      <c r="AF9" s="18"/>
      <c r="AG9" s="18"/>
      <c r="AJ9" s="18"/>
      <c r="AK9" s="18"/>
      <c r="AL9" s="19" t="s">
        <v>25</v>
      </c>
      <c r="AM9" s="19"/>
      <c r="AN9" s="41"/>
      <c r="AO9" s="18"/>
      <c r="AP9" s="18"/>
      <c r="AQ9" s="18"/>
      <c r="AR9" s="18"/>
      <c r="AS9" s="18"/>
      <c r="AT9" s="128" t="str">
        <f>IF(AS11&gt;0,"YOU HAVE NOT USED ALL OF YOUR POINTS YET","")</f>
        <v>YOU HAVE NOT USED ALL OF YOUR POINTS YET</v>
      </c>
      <c r="AU9" s="128"/>
      <c r="AV9" s="128"/>
      <c r="AW9" s="128"/>
      <c r="AX9" s="18"/>
      <c r="AY9" s="18"/>
      <c r="BB9" s="18"/>
      <c r="BC9" s="18"/>
      <c r="BD9" s="19" t="s">
        <v>35</v>
      </c>
      <c r="BE9" s="19"/>
      <c r="BF9" s="41"/>
      <c r="BG9" s="18"/>
      <c r="BH9" s="18"/>
      <c r="BI9" s="18"/>
      <c r="BJ9" s="18"/>
      <c r="BK9" s="18"/>
      <c r="BL9" s="18"/>
      <c r="BM9" s="18"/>
      <c r="BN9" s="18"/>
      <c r="BO9" s="18"/>
      <c r="BP9" s="18"/>
      <c r="BQ9" s="18"/>
      <c r="BT9" s="18"/>
      <c r="BU9" s="18"/>
      <c r="BV9" s="19" t="s">
        <v>45</v>
      </c>
      <c r="BW9" s="19"/>
      <c r="BX9" s="41"/>
      <c r="BY9" s="18"/>
      <c r="BZ9" s="18"/>
      <c r="CA9" s="18"/>
      <c r="CB9" s="18"/>
      <c r="CC9" s="18"/>
      <c r="CD9" s="18"/>
      <c r="CE9" s="18"/>
      <c r="CF9" s="18"/>
      <c r="CG9" s="18"/>
      <c r="CH9" s="18"/>
      <c r="CI9" s="18"/>
      <c r="CL9" s="18"/>
      <c r="CM9" s="18"/>
      <c r="CN9" s="19" t="s">
        <v>55</v>
      </c>
      <c r="CO9" s="19"/>
      <c r="CP9" s="41"/>
      <c r="CQ9" s="18"/>
      <c r="CR9" s="18"/>
      <c r="CS9" s="18"/>
      <c r="CT9" s="18"/>
      <c r="CU9" s="18"/>
      <c r="CV9" s="18"/>
      <c r="CW9" s="18"/>
      <c r="CX9" s="18"/>
      <c r="CY9" s="18"/>
      <c r="CZ9" s="18"/>
      <c r="DA9" s="18"/>
      <c r="DD9" s="4"/>
      <c r="DE9" s="4"/>
      <c r="DF9" s="15" t="s">
        <v>65</v>
      </c>
      <c r="DG9" s="15"/>
      <c r="DH9" s="41"/>
      <c r="DI9" s="4"/>
      <c r="DJ9" s="4"/>
      <c r="DK9" s="4"/>
      <c r="DL9" s="4"/>
      <c r="DM9" s="4"/>
      <c r="DN9" s="4"/>
      <c r="DO9" s="4"/>
      <c r="DP9" s="4"/>
      <c r="DQ9" s="4"/>
      <c r="DR9" s="4"/>
      <c r="DS9" s="4"/>
      <c r="DW9" s="27"/>
      <c r="DX9" s="56" t="s">
        <v>76</v>
      </c>
      <c r="DY9" s="56"/>
      <c r="DZ9" s="81">
        <f>AN21</f>
        <v>0</v>
      </c>
      <c r="EA9" s="81">
        <f>AN9</f>
        <v>0</v>
      </c>
      <c r="EB9" s="81">
        <f>AN19</f>
        <v>0</v>
      </c>
      <c r="EC9" s="81">
        <f>AN5</f>
        <v>0</v>
      </c>
      <c r="ED9" s="81">
        <f>AN11</f>
        <v>0</v>
      </c>
      <c r="EE9" s="81">
        <f>AN15</f>
        <v>0</v>
      </c>
      <c r="EF9" s="81">
        <f>AN17</f>
        <v>0</v>
      </c>
      <c r="EG9" s="81">
        <f>AN7</f>
        <v>0</v>
      </c>
      <c r="EH9" s="81">
        <f>AN13</f>
        <v>0</v>
      </c>
      <c r="EI9" s="59"/>
      <c r="EJ9" s="61"/>
      <c r="EK9" s="62" t="s">
        <v>84</v>
      </c>
      <c r="EL9" s="63"/>
      <c r="EM9" s="64">
        <f>EB19</f>
        <v>0</v>
      </c>
      <c r="EN9" s="65"/>
      <c r="EO9" s="26"/>
      <c r="EU9" s="54" t="str">
        <f>EK13</f>
        <v>Resource Investigator</v>
      </c>
      <c r="EV9" s="54">
        <f>EM13</f>
        <v>0</v>
      </c>
    </row>
    <row r="10" spans="1:194" ht="4.95" customHeight="1" thickTop="1" thickBot="1" x14ac:dyDescent="0.35">
      <c r="S10" s="4"/>
      <c r="T10" s="15"/>
      <c r="U10" s="15"/>
      <c r="V10" s="2"/>
      <c r="W10" s="4"/>
      <c r="X10" s="4"/>
      <c r="Y10" s="4"/>
      <c r="Z10" s="4"/>
      <c r="AA10" s="4"/>
      <c r="AB10" s="4"/>
      <c r="AC10" s="4"/>
      <c r="AD10" s="4"/>
      <c r="AE10" s="4"/>
      <c r="AF10" s="4"/>
      <c r="AG10" s="4"/>
      <c r="AJ10" s="4"/>
      <c r="AK10" s="4"/>
      <c r="AL10" s="15"/>
      <c r="AM10" s="15"/>
      <c r="AN10" s="2"/>
      <c r="AO10" s="4"/>
      <c r="AP10" s="4"/>
      <c r="AQ10" s="4"/>
      <c r="AR10" s="4"/>
      <c r="AS10" s="4"/>
      <c r="AT10" s="4"/>
      <c r="AU10" s="4"/>
      <c r="AV10" s="4"/>
      <c r="AW10" s="4"/>
      <c r="AX10" s="4"/>
      <c r="AY10" s="4"/>
      <c r="BB10" s="4"/>
      <c r="BC10" s="4"/>
      <c r="BD10" s="15"/>
      <c r="BE10" s="15"/>
      <c r="BF10" s="2"/>
      <c r="BG10" s="4"/>
      <c r="BH10" s="4"/>
      <c r="BI10" s="4"/>
      <c r="BJ10" s="4"/>
      <c r="BK10" s="4"/>
      <c r="BL10" s="4"/>
      <c r="BM10" s="4"/>
      <c r="BN10" s="4"/>
      <c r="BO10" s="4"/>
      <c r="BP10" s="4"/>
      <c r="BQ10" s="4"/>
      <c r="BT10" s="4"/>
      <c r="BU10" s="4"/>
      <c r="BV10" s="15"/>
      <c r="BW10" s="15"/>
      <c r="BX10" s="2"/>
      <c r="BY10" s="4"/>
      <c r="BZ10" s="4"/>
      <c r="CA10" s="4"/>
      <c r="CB10" s="4"/>
      <c r="CC10" s="4"/>
      <c r="CD10" s="4"/>
      <c r="CE10" s="4"/>
      <c r="CF10" s="4"/>
      <c r="CG10" s="4"/>
      <c r="CH10" s="4"/>
      <c r="CI10" s="4"/>
      <c r="CL10" s="4"/>
      <c r="CM10" s="4"/>
      <c r="CN10" s="15"/>
      <c r="CO10" s="15"/>
      <c r="CP10" s="2"/>
      <c r="CQ10" s="4"/>
      <c r="CR10" s="4"/>
      <c r="CS10" s="4"/>
      <c r="CT10" s="4"/>
      <c r="CU10" s="4"/>
      <c r="CV10" s="4"/>
      <c r="CW10" s="4"/>
      <c r="CX10" s="4"/>
      <c r="CY10" s="4"/>
      <c r="CZ10" s="4"/>
      <c r="DA10" s="4"/>
      <c r="DD10" s="4"/>
      <c r="DE10" s="4"/>
      <c r="DF10" s="15"/>
      <c r="DG10" s="15"/>
      <c r="DH10" s="2"/>
      <c r="DI10" s="4"/>
      <c r="DJ10" s="4"/>
      <c r="DK10" s="4"/>
      <c r="DL10" s="4"/>
      <c r="DM10" s="4"/>
      <c r="DN10" s="4"/>
      <c r="DO10" s="4"/>
      <c r="DP10" s="4"/>
      <c r="DQ10" s="4"/>
      <c r="DR10" s="4"/>
      <c r="DS10" s="4"/>
      <c r="DW10" s="27"/>
      <c r="DX10" s="66"/>
      <c r="DY10" s="66"/>
      <c r="DZ10" s="66"/>
      <c r="EA10" s="66"/>
      <c r="EB10" s="66"/>
      <c r="EC10" s="66"/>
      <c r="ED10" s="66"/>
      <c r="EE10" s="66"/>
      <c r="EF10" s="66"/>
      <c r="EG10" s="66"/>
      <c r="EH10" s="66"/>
      <c r="EI10" s="59"/>
      <c r="EJ10" s="58"/>
      <c r="EK10" s="67"/>
      <c r="EL10" s="58"/>
      <c r="EM10" s="64"/>
      <c r="EN10" s="68"/>
      <c r="EO10" s="25"/>
      <c r="EU10" s="54" t="str">
        <f>EK15</f>
        <v>Monitor Evaluator</v>
      </c>
      <c r="EV10" s="54">
        <f>EM15</f>
        <v>0</v>
      </c>
    </row>
    <row r="11" spans="1:194" s="17" customFormat="1" ht="31.95" customHeight="1" thickTop="1" thickBot="1" x14ac:dyDescent="0.35">
      <c r="B11" s="16" t="s">
        <v>5</v>
      </c>
      <c r="C11" s="16"/>
      <c r="D11" s="41"/>
      <c r="F11" s="129" t="s">
        <v>6</v>
      </c>
      <c r="G11" s="129"/>
      <c r="I11" s="22">
        <f>10-SUM(D5,D7,D9,D11,D13,D15,D17,D19,D21)</f>
        <v>10</v>
      </c>
      <c r="J11" s="126" t="str">
        <f>IF(I11&lt;0,"TOO MANY POINTS!","")</f>
        <v/>
      </c>
      <c r="K11" s="126"/>
      <c r="L11" s="126"/>
      <c r="M11" s="126"/>
      <c r="S11" s="18"/>
      <c r="T11" s="19" t="s">
        <v>16</v>
      </c>
      <c r="U11" s="19"/>
      <c r="V11" s="41"/>
      <c r="W11" s="18"/>
      <c r="X11" s="125" t="s">
        <v>6</v>
      </c>
      <c r="Y11" s="125"/>
      <c r="Z11" s="18"/>
      <c r="AA11" s="23">
        <f>10-SUM(V5,V7,V9,V11,V13,V15,V17,V19,V21)</f>
        <v>10</v>
      </c>
      <c r="AB11" s="126" t="str">
        <f>IF(AA11&lt;0,"TOO MANY POINTS!","")</f>
        <v/>
      </c>
      <c r="AC11" s="126"/>
      <c r="AD11" s="126"/>
      <c r="AE11" s="126"/>
      <c r="AF11" s="20"/>
      <c r="AG11" s="18"/>
      <c r="AJ11" s="18"/>
      <c r="AK11" s="18"/>
      <c r="AL11" s="19" t="s">
        <v>26</v>
      </c>
      <c r="AM11" s="19"/>
      <c r="AN11" s="41"/>
      <c r="AO11" s="18"/>
      <c r="AP11" s="125" t="s">
        <v>6</v>
      </c>
      <c r="AQ11" s="125"/>
      <c r="AR11" s="18"/>
      <c r="AS11" s="23">
        <f>10-SUM(AN5,AN7,AN9,AN11,AN13,AN15,AN17,AN19,AN21)</f>
        <v>10</v>
      </c>
      <c r="AT11" s="126" t="str">
        <f>IF(AS11&lt;0,"TOO MANY POINTS!","")</f>
        <v/>
      </c>
      <c r="AU11" s="126"/>
      <c r="AV11" s="126"/>
      <c r="AW11" s="126"/>
      <c r="AX11" s="20"/>
      <c r="AY11" s="18"/>
      <c r="BB11" s="18"/>
      <c r="BC11" s="18"/>
      <c r="BD11" s="19" t="s">
        <v>36</v>
      </c>
      <c r="BE11" s="19"/>
      <c r="BF11" s="41"/>
      <c r="BG11" s="18"/>
      <c r="BH11" s="125" t="s">
        <v>6</v>
      </c>
      <c r="BI11" s="125"/>
      <c r="BJ11" s="18"/>
      <c r="BK11" s="23">
        <f>10-SUM(BF5,BF7,BF9,BF11,BF13,BF15,BF17,BF19,BF21)</f>
        <v>10</v>
      </c>
      <c r="BL11" s="126" t="str">
        <f>IF(BK11&lt;0,"TOO MANY POINTS!","")</f>
        <v/>
      </c>
      <c r="BM11" s="126"/>
      <c r="BN11" s="126"/>
      <c r="BO11" s="126"/>
      <c r="BP11" s="20"/>
      <c r="BQ11" s="18"/>
      <c r="BT11" s="18"/>
      <c r="BU11" s="18"/>
      <c r="BV11" s="19" t="s">
        <v>46</v>
      </c>
      <c r="BW11" s="19"/>
      <c r="BX11" s="41"/>
      <c r="BY11" s="18"/>
      <c r="BZ11" s="125" t="s">
        <v>6</v>
      </c>
      <c r="CA11" s="125"/>
      <c r="CB11" s="18"/>
      <c r="CC11" s="23">
        <f>10-SUM(BX5,BX7,BX9,BX11,BX13,BX15,BX17,BX19,BX21)</f>
        <v>10</v>
      </c>
      <c r="CD11" s="126" t="str">
        <f>IF(CC11&lt;0,"TOO MANY POINTS!","")</f>
        <v/>
      </c>
      <c r="CE11" s="126"/>
      <c r="CF11" s="126"/>
      <c r="CG11" s="126"/>
      <c r="CH11" s="20"/>
      <c r="CI11" s="18"/>
      <c r="CL11" s="18"/>
      <c r="CM11" s="18"/>
      <c r="CN11" s="19" t="s">
        <v>56</v>
      </c>
      <c r="CO11" s="19"/>
      <c r="CP11" s="41"/>
      <c r="CQ11" s="18"/>
      <c r="CR11" s="125" t="s">
        <v>6</v>
      </c>
      <c r="CS11" s="125"/>
      <c r="CT11" s="18"/>
      <c r="CU11" s="23">
        <f>10-SUM(CP5,CP7,CP9,CP11,CP13,CP15,CP17,CP19,CP21)</f>
        <v>10</v>
      </c>
      <c r="CV11" s="126" t="str">
        <f>IF(CU11&lt;0,"TOO MANY POINTS!","")</f>
        <v/>
      </c>
      <c r="CW11" s="126"/>
      <c r="CX11" s="126"/>
      <c r="CY11" s="126"/>
      <c r="CZ11" s="20"/>
      <c r="DA11" s="18"/>
      <c r="DD11" s="4"/>
      <c r="DE11" s="4"/>
      <c r="DF11" s="15" t="s">
        <v>66</v>
      </c>
      <c r="DG11" s="15"/>
      <c r="DH11" s="41"/>
      <c r="DI11" s="4"/>
      <c r="DJ11" s="125" t="s">
        <v>6</v>
      </c>
      <c r="DK11" s="125"/>
      <c r="DL11" s="4"/>
      <c r="DM11" s="23">
        <f>10-SUM(DH5,DH7,DH9,DH11,DH13,DH15,DH17,DH19,DH21)</f>
        <v>10</v>
      </c>
      <c r="DN11" s="126" t="str">
        <f>IF(DM11&lt;0,"TOO MANY POINTS!","")</f>
        <v/>
      </c>
      <c r="DO11" s="126"/>
      <c r="DP11" s="126"/>
      <c r="DQ11" s="126"/>
      <c r="DR11" s="21"/>
      <c r="DS11" s="4"/>
      <c r="DW11" s="27"/>
      <c r="DX11" s="56" t="s">
        <v>77</v>
      </c>
      <c r="DY11" s="56"/>
      <c r="DZ11" s="81">
        <f>BF11</f>
        <v>0</v>
      </c>
      <c r="EA11" s="81">
        <f>BF7</f>
        <v>0</v>
      </c>
      <c r="EB11" s="81">
        <f>BF9</f>
        <v>0</v>
      </c>
      <c r="EC11" s="81">
        <f>BF13</f>
        <v>0</v>
      </c>
      <c r="ED11" s="81">
        <f>BF15</f>
        <v>0</v>
      </c>
      <c r="EE11" s="81">
        <f>BF19</f>
        <v>0</v>
      </c>
      <c r="EF11" s="81">
        <f>BF5</f>
        <v>0</v>
      </c>
      <c r="EG11" s="81">
        <f>BF17</f>
        <v>0</v>
      </c>
      <c r="EH11" s="81">
        <f>BF21</f>
        <v>0</v>
      </c>
      <c r="EI11" s="59"/>
      <c r="EJ11" s="61"/>
      <c r="EK11" s="74" t="s">
        <v>85</v>
      </c>
      <c r="EL11" s="75"/>
      <c r="EM11" s="64">
        <f>EC19</f>
        <v>0</v>
      </c>
      <c r="EN11" s="65"/>
      <c r="EO11" s="26"/>
      <c r="EU11" s="54" t="str">
        <f>EK17</f>
        <v>Team Worker</v>
      </c>
      <c r="EV11" s="54">
        <f>EM17</f>
        <v>0</v>
      </c>
    </row>
    <row r="12" spans="1:194" ht="4.95" customHeight="1" thickTop="1" thickBot="1" x14ac:dyDescent="0.35">
      <c r="J12" s="4"/>
      <c r="K12" s="4"/>
      <c r="L12" s="4"/>
      <c r="M12" s="4"/>
      <c r="S12" s="4"/>
      <c r="T12" s="15"/>
      <c r="U12" s="15"/>
      <c r="V12" s="2"/>
      <c r="W12" s="4"/>
      <c r="X12" s="4"/>
      <c r="Y12" s="4"/>
      <c r="Z12" s="4"/>
      <c r="AA12" s="4"/>
      <c r="AB12" s="4"/>
      <c r="AC12" s="4"/>
      <c r="AD12" s="4"/>
      <c r="AE12" s="4"/>
      <c r="AF12" s="21"/>
      <c r="AG12" s="4"/>
      <c r="AJ12" s="4"/>
      <c r="AK12" s="4"/>
      <c r="AL12" s="15"/>
      <c r="AM12" s="15"/>
      <c r="AN12" s="2"/>
      <c r="AO12" s="4"/>
      <c r="AP12" s="4"/>
      <c r="AQ12" s="4"/>
      <c r="AR12" s="4"/>
      <c r="AS12" s="4"/>
      <c r="AT12" s="4"/>
      <c r="AU12" s="4"/>
      <c r="AV12" s="4"/>
      <c r="AW12" s="4"/>
      <c r="AX12" s="21"/>
      <c r="AY12" s="4"/>
      <c r="BB12" s="4"/>
      <c r="BC12" s="4"/>
      <c r="BD12" s="15"/>
      <c r="BE12" s="15"/>
      <c r="BF12" s="2"/>
      <c r="BG12" s="4"/>
      <c r="BH12" s="4"/>
      <c r="BI12" s="4"/>
      <c r="BJ12" s="4"/>
      <c r="BK12" s="4"/>
      <c r="BL12" s="4"/>
      <c r="BM12" s="4"/>
      <c r="BN12" s="4"/>
      <c r="BO12" s="4"/>
      <c r="BP12" s="21"/>
      <c r="BQ12" s="4"/>
      <c r="BT12" s="4"/>
      <c r="BU12" s="4"/>
      <c r="BV12" s="15"/>
      <c r="BW12" s="15"/>
      <c r="BX12" s="2"/>
      <c r="BY12" s="4"/>
      <c r="BZ12" s="4"/>
      <c r="CA12" s="4"/>
      <c r="CB12" s="4"/>
      <c r="CC12" s="4"/>
      <c r="CD12" s="4"/>
      <c r="CE12" s="4"/>
      <c r="CF12" s="4"/>
      <c r="CG12" s="4"/>
      <c r="CH12" s="21"/>
      <c r="CI12" s="4"/>
      <c r="CL12" s="4"/>
      <c r="CM12" s="4"/>
      <c r="CN12" s="15"/>
      <c r="CO12" s="15"/>
      <c r="CP12" s="2"/>
      <c r="CQ12" s="4"/>
      <c r="CR12" s="4"/>
      <c r="CS12" s="4"/>
      <c r="CT12" s="4"/>
      <c r="CU12" s="4"/>
      <c r="CV12" s="4"/>
      <c r="CW12" s="4"/>
      <c r="CX12" s="4"/>
      <c r="CY12" s="4"/>
      <c r="CZ12" s="21"/>
      <c r="DA12" s="4"/>
      <c r="DD12" s="4"/>
      <c r="DE12" s="4"/>
      <c r="DF12" s="15"/>
      <c r="DG12" s="15"/>
      <c r="DH12" s="2"/>
      <c r="DI12" s="4"/>
      <c r="DJ12" s="4"/>
      <c r="DK12" s="4"/>
      <c r="DL12" s="4"/>
      <c r="DM12" s="4"/>
      <c r="DN12" s="4"/>
      <c r="DO12" s="4"/>
      <c r="DP12" s="4"/>
      <c r="DQ12" s="4"/>
      <c r="DR12" s="21"/>
      <c r="DS12" s="4"/>
      <c r="DW12" s="27"/>
      <c r="DX12" s="66"/>
      <c r="DY12" s="66"/>
      <c r="DZ12" s="66"/>
      <c r="EA12" s="66"/>
      <c r="EB12" s="66"/>
      <c r="EC12" s="66"/>
      <c r="ED12" s="66"/>
      <c r="EE12" s="66"/>
      <c r="EF12" s="66"/>
      <c r="EG12" s="66"/>
      <c r="EH12" s="66"/>
      <c r="EI12" s="59"/>
      <c r="EJ12" s="58"/>
      <c r="EK12" s="67"/>
      <c r="EL12" s="58"/>
      <c r="EM12" s="64"/>
      <c r="EN12" s="68"/>
      <c r="EO12" s="25"/>
      <c r="EU12" s="54" t="str">
        <f>EK19</f>
        <v>Complete Finisher</v>
      </c>
      <c r="EV12" s="54">
        <f>EM19</f>
        <v>0</v>
      </c>
    </row>
    <row r="13" spans="1:194" s="17" customFormat="1" ht="31.95" customHeight="1" thickTop="1" thickBot="1" x14ac:dyDescent="0.35">
      <c r="B13" s="16" t="s">
        <v>7</v>
      </c>
      <c r="C13" s="16"/>
      <c r="D13" s="41"/>
      <c r="J13" s="127" t="str">
        <f>IF(I11&gt;0,"YOU HAVE NOT USED ALL OF YOUR POINTS YET","")</f>
        <v>YOU HAVE NOT USED ALL OF YOUR POINTS YET</v>
      </c>
      <c r="K13" s="127"/>
      <c r="L13" s="127"/>
      <c r="M13" s="127"/>
      <c r="S13" s="18"/>
      <c r="T13" s="19" t="s">
        <v>17</v>
      </c>
      <c r="U13" s="19"/>
      <c r="V13" s="41"/>
      <c r="W13" s="18"/>
      <c r="X13" s="18"/>
      <c r="Y13" s="18"/>
      <c r="Z13" s="18"/>
      <c r="AA13" s="18"/>
      <c r="AB13" s="127" t="str">
        <f>IF(AA11&gt;0,"YOU HAVE NOT USED ALL OF YOUR POINTS YET","")</f>
        <v>YOU HAVE NOT USED ALL OF YOUR POINTS YET</v>
      </c>
      <c r="AC13" s="127"/>
      <c r="AD13" s="127"/>
      <c r="AE13" s="127"/>
      <c r="AF13" s="20"/>
      <c r="AG13" s="18"/>
      <c r="AJ13" s="18"/>
      <c r="AK13" s="18"/>
      <c r="AL13" s="19" t="s">
        <v>27</v>
      </c>
      <c r="AM13" s="19"/>
      <c r="AN13" s="41"/>
      <c r="AO13" s="18"/>
      <c r="AP13" s="18"/>
      <c r="AQ13" s="18"/>
      <c r="AR13" s="18"/>
      <c r="AS13" s="18"/>
      <c r="AT13" s="127" t="str">
        <f>IF(AS11&gt;0,"YOU HAVE NOT USED ALL OF YOUR POINTS YET","")</f>
        <v>YOU HAVE NOT USED ALL OF YOUR POINTS YET</v>
      </c>
      <c r="AU13" s="127"/>
      <c r="AV13" s="127"/>
      <c r="AW13" s="127"/>
      <c r="AX13" s="20"/>
      <c r="AY13" s="18"/>
      <c r="BB13" s="18"/>
      <c r="BC13" s="18"/>
      <c r="BD13" s="19" t="s">
        <v>37</v>
      </c>
      <c r="BE13" s="19"/>
      <c r="BF13" s="41"/>
      <c r="BG13" s="18"/>
      <c r="BH13" s="18"/>
      <c r="BI13" s="18"/>
      <c r="BJ13" s="18"/>
      <c r="BK13" s="18"/>
      <c r="BL13" s="127" t="str">
        <f>IF(BK11&gt;0,"YOU HAVE NOT USED ALL OF YOUR POINTS YET","")</f>
        <v>YOU HAVE NOT USED ALL OF YOUR POINTS YET</v>
      </c>
      <c r="BM13" s="127"/>
      <c r="BN13" s="127"/>
      <c r="BO13" s="127"/>
      <c r="BP13" s="20"/>
      <c r="BQ13" s="18"/>
      <c r="BT13" s="18"/>
      <c r="BU13" s="18"/>
      <c r="BV13" s="19" t="s">
        <v>47</v>
      </c>
      <c r="BW13" s="19"/>
      <c r="BX13" s="41"/>
      <c r="BY13" s="18"/>
      <c r="BZ13" s="18"/>
      <c r="CA13" s="18"/>
      <c r="CB13" s="18"/>
      <c r="CC13" s="18"/>
      <c r="CD13" s="127" t="str">
        <f>IF(CC11&gt;0,"YOU HAVE NOT USED ALL OF YOUR POINTS YET","")</f>
        <v>YOU HAVE NOT USED ALL OF YOUR POINTS YET</v>
      </c>
      <c r="CE13" s="127"/>
      <c r="CF13" s="127"/>
      <c r="CG13" s="127"/>
      <c r="CH13" s="20"/>
      <c r="CI13" s="18"/>
      <c r="CL13" s="18"/>
      <c r="CM13" s="18"/>
      <c r="CN13" s="19" t="s">
        <v>57</v>
      </c>
      <c r="CO13" s="19"/>
      <c r="CP13" s="41"/>
      <c r="CQ13" s="18"/>
      <c r="CR13" s="18"/>
      <c r="CS13" s="18"/>
      <c r="CT13" s="18"/>
      <c r="CU13" s="18"/>
      <c r="CV13" s="127" t="str">
        <f>IF(CU11&gt;0,"YOU HAVE NOT USED ALL OF YOUR POINTS YET","")</f>
        <v>YOU HAVE NOT USED ALL OF YOUR POINTS YET</v>
      </c>
      <c r="CW13" s="127"/>
      <c r="CX13" s="127"/>
      <c r="CY13" s="127"/>
      <c r="CZ13" s="20"/>
      <c r="DA13" s="18"/>
      <c r="DD13" s="4"/>
      <c r="DE13" s="4"/>
      <c r="DF13" s="15" t="s">
        <v>67</v>
      </c>
      <c r="DG13" s="15"/>
      <c r="DH13" s="41"/>
      <c r="DI13" s="4"/>
      <c r="DJ13" s="4"/>
      <c r="DK13" s="4"/>
      <c r="DL13" s="4"/>
      <c r="DM13" s="4"/>
      <c r="DN13" s="127" t="str">
        <f>IF(DM11&gt;0,"YOU HAVE NOT USED ALL OF YOUR POINTS YET","")</f>
        <v>YOU HAVE NOT USED ALL OF YOUR POINTS YET</v>
      </c>
      <c r="DO13" s="127"/>
      <c r="DP13" s="127"/>
      <c r="DQ13" s="127"/>
      <c r="DR13" s="21"/>
      <c r="DS13" s="4"/>
      <c r="DW13" s="27"/>
      <c r="DX13" s="56" t="s">
        <v>78</v>
      </c>
      <c r="DY13" s="56"/>
      <c r="DZ13" s="81">
        <f>BX13</f>
        <v>0</v>
      </c>
      <c r="EA13" s="81">
        <f>BX19</f>
        <v>0</v>
      </c>
      <c r="EB13" s="81">
        <f>BX21</f>
        <v>0</v>
      </c>
      <c r="EC13" s="81">
        <f>BX9</f>
        <v>0</v>
      </c>
      <c r="ED13" s="81">
        <f>BX17</f>
        <v>0</v>
      </c>
      <c r="EE13" s="81">
        <f>BX5</f>
        <v>0</v>
      </c>
      <c r="EF13" s="81">
        <f>BX15</f>
        <v>0</v>
      </c>
      <c r="EG13" s="81">
        <f>BX11</f>
        <v>0</v>
      </c>
      <c r="EH13" s="81">
        <f>BX7</f>
        <v>0</v>
      </c>
      <c r="EI13" s="59"/>
      <c r="EJ13" s="61"/>
      <c r="EK13" s="62" t="s">
        <v>86</v>
      </c>
      <c r="EL13" s="63"/>
      <c r="EM13" s="64">
        <f>ED19</f>
        <v>0</v>
      </c>
      <c r="EN13" s="65"/>
      <c r="EO13" s="26"/>
      <c r="EU13" s="54" t="str">
        <f>EK21</f>
        <v>Specialist</v>
      </c>
      <c r="EV13" s="54">
        <f>EM21</f>
        <v>0</v>
      </c>
    </row>
    <row r="14" spans="1:194" ht="4.95" customHeight="1" thickTop="1" thickBot="1" x14ac:dyDescent="0.35">
      <c r="J14" s="4"/>
      <c r="K14" s="4"/>
      <c r="L14" s="4"/>
      <c r="M14" s="4"/>
      <c r="S14" s="4"/>
      <c r="T14" s="15"/>
      <c r="U14" s="15"/>
      <c r="V14" s="2"/>
      <c r="W14" s="4"/>
      <c r="X14" s="4"/>
      <c r="Y14" s="4"/>
      <c r="Z14" s="4"/>
      <c r="AA14" s="4"/>
      <c r="AB14" s="4"/>
      <c r="AC14" s="4"/>
      <c r="AD14" s="4"/>
      <c r="AE14" s="4"/>
      <c r="AF14" s="21"/>
      <c r="AG14" s="4"/>
      <c r="AJ14" s="4"/>
      <c r="AK14" s="4"/>
      <c r="AL14" s="15"/>
      <c r="AM14" s="15"/>
      <c r="AN14" s="2"/>
      <c r="AO14" s="4"/>
      <c r="AP14" s="4"/>
      <c r="AQ14" s="4"/>
      <c r="AR14" s="4"/>
      <c r="AS14" s="4"/>
      <c r="AT14" s="4"/>
      <c r="AU14" s="4"/>
      <c r="AV14" s="4"/>
      <c r="AW14" s="4"/>
      <c r="AX14" s="21"/>
      <c r="AY14" s="4"/>
      <c r="BB14" s="4"/>
      <c r="BC14" s="4"/>
      <c r="BD14" s="15"/>
      <c r="BE14" s="15"/>
      <c r="BF14" s="2"/>
      <c r="BG14" s="4"/>
      <c r="BH14" s="4"/>
      <c r="BI14" s="4"/>
      <c r="BJ14" s="4"/>
      <c r="BK14" s="4"/>
      <c r="BL14" s="4"/>
      <c r="BM14" s="4"/>
      <c r="BN14" s="4"/>
      <c r="BO14" s="4"/>
      <c r="BP14" s="21"/>
      <c r="BQ14" s="4"/>
      <c r="BT14" s="4"/>
      <c r="BU14" s="4"/>
      <c r="BV14" s="15"/>
      <c r="BW14" s="15"/>
      <c r="BX14" s="2"/>
      <c r="BY14" s="4"/>
      <c r="BZ14" s="4"/>
      <c r="CA14" s="4"/>
      <c r="CB14" s="4"/>
      <c r="CC14" s="4"/>
      <c r="CD14" s="4"/>
      <c r="CE14" s="4"/>
      <c r="CF14" s="4"/>
      <c r="CG14" s="4"/>
      <c r="CH14" s="21"/>
      <c r="CI14" s="4"/>
      <c r="CL14" s="4"/>
      <c r="CM14" s="4"/>
      <c r="CN14" s="15"/>
      <c r="CO14" s="15"/>
      <c r="CP14" s="2"/>
      <c r="CQ14" s="4"/>
      <c r="CR14" s="4"/>
      <c r="CS14" s="4"/>
      <c r="CT14" s="4"/>
      <c r="CU14" s="4"/>
      <c r="CV14" s="4"/>
      <c r="CW14" s="4"/>
      <c r="CX14" s="4"/>
      <c r="CY14" s="4"/>
      <c r="CZ14" s="21"/>
      <c r="DA14" s="4"/>
      <c r="DD14" s="4"/>
      <c r="DE14" s="4"/>
      <c r="DF14" s="15"/>
      <c r="DG14" s="15"/>
      <c r="DH14" s="2"/>
      <c r="DI14" s="4"/>
      <c r="DJ14" s="4"/>
      <c r="DK14" s="4"/>
      <c r="DL14" s="4"/>
      <c r="DM14" s="4"/>
      <c r="DN14" s="4"/>
      <c r="DO14" s="4"/>
      <c r="DP14" s="4"/>
      <c r="DQ14" s="4"/>
      <c r="DR14" s="21"/>
      <c r="DS14" s="4"/>
      <c r="DW14" s="27"/>
      <c r="DX14" s="66"/>
      <c r="DY14" s="66"/>
      <c r="DZ14" s="66"/>
      <c r="EA14" s="66"/>
      <c r="EB14" s="66"/>
      <c r="EC14" s="66"/>
      <c r="ED14" s="66"/>
      <c r="EE14" s="66"/>
      <c r="EF14" s="66"/>
      <c r="EG14" s="66"/>
      <c r="EH14" s="66"/>
      <c r="EI14" s="59"/>
      <c r="EJ14" s="58"/>
      <c r="EK14" s="67"/>
      <c r="EL14" s="58"/>
      <c r="EM14" s="64"/>
      <c r="EN14" s="68"/>
      <c r="EO14" s="25"/>
      <c r="GL14" s="17"/>
    </row>
    <row r="15" spans="1:194" s="17" customFormat="1" ht="31.95" customHeight="1" thickTop="1" thickBot="1" x14ac:dyDescent="0.35">
      <c r="B15" s="16" t="s">
        <v>8</v>
      </c>
      <c r="C15" s="16"/>
      <c r="D15" s="41"/>
      <c r="J15" s="124" t="str">
        <f>IF(I11=0,"THANK YOU, YOU MAY CONTINUE","")</f>
        <v/>
      </c>
      <c r="K15" s="124"/>
      <c r="L15" s="124"/>
      <c r="M15" s="124"/>
      <c r="S15" s="18"/>
      <c r="T15" s="19" t="s">
        <v>18</v>
      </c>
      <c r="U15" s="19"/>
      <c r="V15" s="41"/>
      <c r="W15" s="18"/>
      <c r="X15" s="18"/>
      <c r="Y15" s="18"/>
      <c r="Z15" s="18"/>
      <c r="AA15" s="18"/>
      <c r="AB15" s="124" t="str">
        <f>IF(AA11=0,"THANK YOU, YOU MAY CONTINUE","")</f>
        <v/>
      </c>
      <c r="AC15" s="124"/>
      <c r="AD15" s="124"/>
      <c r="AE15" s="124"/>
      <c r="AF15" s="20"/>
      <c r="AG15" s="18"/>
      <c r="AJ15" s="18"/>
      <c r="AK15" s="18"/>
      <c r="AL15" s="19" t="s">
        <v>28</v>
      </c>
      <c r="AM15" s="19"/>
      <c r="AN15" s="41"/>
      <c r="AO15" s="18"/>
      <c r="AP15" s="18"/>
      <c r="AQ15" s="18"/>
      <c r="AR15" s="18"/>
      <c r="AS15" s="18"/>
      <c r="AT15" s="124" t="str">
        <f>IF(AS11=0,"THANK YOU, YOU MAY CONTINUE","")</f>
        <v/>
      </c>
      <c r="AU15" s="124"/>
      <c r="AV15" s="124"/>
      <c r="AW15" s="124"/>
      <c r="AX15" s="20"/>
      <c r="AY15" s="18"/>
      <c r="BB15" s="18"/>
      <c r="BC15" s="18"/>
      <c r="BD15" s="19" t="s">
        <v>38</v>
      </c>
      <c r="BE15" s="19"/>
      <c r="BF15" s="41"/>
      <c r="BG15" s="18"/>
      <c r="BH15" s="18"/>
      <c r="BI15" s="18"/>
      <c r="BJ15" s="18"/>
      <c r="BK15" s="18"/>
      <c r="BL15" s="124" t="str">
        <f>IF(BK11=0,"THANK YOU, YOU MAY CONTINUE","")</f>
        <v/>
      </c>
      <c r="BM15" s="124"/>
      <c r="BN15" s="124"/>
      <c r="BO15" s="124"/>
      <c r="BP15" s="20"/>
      <c r="BQ15" s="18"/>
      <c r="BT15" s="18"/>
      <c r="BU15" s="18"/>
      <c r="BV15" s="19" t="s">
        <v>48</v>
      </c>
      <c r="BW15" s="19"/>
      <c r="BX15" s="41"/>
      <c r="BY15" s="18"/>
      <c r="BZ15" s="18"/>
      <c r="CA15" s="18"/>
      <c r="CB15" s="18"/>
      <c r="CC15" s="18"/>
      <c r="CD15" s="124" t="str">
        <f>IF(CC11=0,"THANK YOU, YOU MAY CONTINUE","")</f>
        <v/>
      </c>
      <c r="CE15" s="124"/>
      <c r="CF15" s="124"/>
      <c r="CG15" s="124"/>
      <c r="CH15" s="20"/>
      <c r="CI15" s="18"/>
      <c r="CL15" s="18"/>
      <c r="CM15" s="18"/>
      <c r="CN15" s="19" t="s">
        <v>58</v>
      </c>
      <c r="CO15" s="19"/>
      <c r="CP15" s="41"/>
      <c r="CQ15" s="18"/>
      <c r="CR15" s="18"/>
      <c r="CS15" s="18"/>
      <c r="CT15" s="18"/>
      <c r="CU15" s="18"/>
      <c r="CV15" s="124" t="str">
        <f>IF(CU11=0,"THANK YOU, YOU MAY CONTINUE","")</f>
        <v/>
      </c>
      <c r="CW15" s="124"/>
      <c r="CX15" s="124"/>
      <c r="CY15" s="124"/>
      <c r="CZ15" s="20"/>
      <c r="DA15" s="18"/>
      <c r="DD15" s="4"/>
      <c r="DE15" s="4"/>
      <c r="DF15" s="15" t="s">
        <v>68</v>
      </c>
      <c r="DG15" s="15"/>
      <c r="DH15" s="41"/>
      <c r="DI15" s="4"/>
      <c r="DJ15" s="4"/>
      <c r="DK15" s="4"/>
      <c r="DL15" s="4"/>
      <c r="DM15" s="4"/>
      <c r="DN15" s="124" t="str">
        <f>IF(DM11=0,"THANK YOU, YOU MAY CONTINUE","")</f>
        <v/>
      </c>
      <c r="DO15" s="124"/>
      <c r="DP15" s="124"/>
      <c r="DQ15" s="124"/>
      <c r="DR15" s="21"/>
      <c r="DS15" s="4"/>
      <c r="DX15" s="56" t="s">
        <v>79</v>
      </c>
      <c r="DY15" s="56"/>
      <c r="DZ15" s="81">
        <f>CP7</f>
        <v>0</v>
      </c>
      <c r="EA15" s="81">
        <f>CP13</f>
        <v>0</v>
      </c>
      <c r="EB15" s="81">
        <f>CP17</f>
        <v>0</v>
      </c>
      <c r="EC15" s="81">
        <f>CP15</f>
        <v>0</v>
      </c>
      <c r="ED15" s="81">
        <f>CP9</f>
        <v>0</v>
      </c>
      <c r="EE15" s="81">
        <f>CP11</f>
        <v>0</v>
      </c>
      <c r="EF15" s="81">
        <f>CP21</f>
        <v>0</v>
      </c>
      <c r="EG15" s="81">
        <f>CP19</f>
        <v>0</v>
      </c>
      <c r="EH15" s="81">
        <f>CP5</f>
        <v>0</v>
      </c>
      <c r="EI15" s="59"/>
      <c r="EJ15" s="61"/>
      <c r="EK15" s="74" t="s">
        <v>87</v>
      </c>
      <c r="EL15" s="75"/>
      <c r="EM15" s="64">
        <f>EE19</f>
        <v>0</v>
      </c>
      <c r="EN15" s="65"/>
      <c r="EO15" s="26"/>
    </row>
    <row r="16" spans="1:194" ht="4.95" customHeight="1" thickTop="1" thickBot="1" x14ac:dyDescent="0.35">
      <c r="J16" s="4"/>
      <c r="K16" s="4"/>
      <c r="L16" s="4"/>
      <c r="M16" s="4"/>
      <c r="S16" s="4"/>
      <c r="T16" s="15"/>
      <c r="U16" s="15"/>
      <c r="V16" s="2"/>
      <c r="W16" s="4"/>
      <c r="X16" s="4"/>
      <c r="Y16" s="4"/>
      <c r="Z16" s="4"/>
      <c r="AA16" s="4"/>
      <c r="AB16" s="4"/>
      <c r="AC16" s="4"/>
      <c r="AD16" s="4"/>
      <c r="AE16" s="4"/>
      <c r="AF16" s="21"/>
      <c r="AG16" s="4"/>
      <c r="AJ16" s="4"/>
      <c r="AK16" s="4"/>
      <c r="AL16" s="15"/>
      <c r="AM16" s="15"/>
      <c r="AN16" s="2"/>
      <c r="AO16" s="4"/>
      <c r="AP16" s="4"/>
      <c r="AQ16" s="4"/>
      <c r="AR16" s="4"/>
      <c r="AS16" s="4"/>
      <c r="AT16" s="4"/>
      <c r="AU16" s="4"/>
      <c r="AV16" s="4"/>
      <c r="AW16" s="4"/>
      <c r="AX16" s="21"/>
      <c r="AY16" s="4"/>
      <c r="BB16" s="4"/>
      <c r="BC16" s="4"/>
      <c r="BD16" s="15"/>
      <c r="BE16" s="15"/>
      <c r="BF16" s="2"/>
      <c r="BG16" s="4"/>
      <c r="BH16" s="4"/>
      <c r="BI16" s="4"/>
      <c r="BJ16" s="4"/>
      <c r="BK16" s="4"/>
      <c r="BL16" s="4"/>
      <c r="BM16" s="4"/>
      <c r="BN16" s="4"/>
      <c r="BO16" s="4"/>
      <c r="BP16" s="21"/>
      <c r="BQ16" s="4"/>
      <c r="BT16" s="4"/>
      <c r="BU16" s="4"/>
      <c r="BV16" s="15"/>
      <c r="BW16" s="15"/>
      <c r="BX16" s="2"/>
      <c r="BY16" s="4"/>
      <c r="BZ16" s="4"/>
      <c r="CA16" s="4"/>
      <c r="CB16" s="4"/>
      <c r="CC16" s="4"/>
      <c r="CD16" s="4"/>
      <c r="CE16" s="4"/>
      <c r="CF16" s="4"/>
      <c r="CG16" s="4"/>
      <c r="CH16" s="21"/>
      <c r="CI16" s="4"/>
      <c r="CL16" s="4"/>
      <c r="CM16" s="4"/>
      <c r="CN16" s="15"/>
      <c r="CO16" s="15"/>
      <c r="CP16" s="2"/>
      <c r="CQ16" s="4"/>
      <c r="CR16" s="4"/>
      <c r="CS16" s="4"/>
      <c r="CT16" s="4"/>
      <c r="CU16" s="4"/>
      <c r="CV16" s="4"/>
      <c r="CW16" s="4"/>
      <c r="CX16" s="4"/>
      <c r="CY16" s="4"/>
      <c r="CZ16" s="21"/>
      <c r="DA16" s="4"/>
      <c r="DD16" s="4"/>
      <c r="DE16" s="4"/>
      <c r="DF16" s="15"/>
      <c r="DG16" s="15"/>
      <c r="DH16" s="2"/>
      <c r="DI16" s="4"/>
      <c r="DJ16" s="4"/>
      <c r="DK16" s="4"/>
      <c r="DL16" s="4"/>
      <c r="DM16" s="4"/>
      <c r="DN16" s="4"/>
      <c r="DO16" s="4"/>
      <c r="DP16" s="4"/>
      <c r="DQ16" s="4"/>
      <c r="DR16" s="21"/>
      <c r="DS16" s="4"/>
      <c r="DX16" s="66"/>
      <c r="DY16" s="66"/>
      <c r="DZ16" s="66"/>
      <c r="EA16" s="66"/>
      <c r="EB16" s="66"/>
      <c r="EC16" s="66"/>
      <c r="ED16" s="66"/>
      <c r="EE16" s="66"/>
      <c r="EF16" s="66"/>
      <c r="EG16" s="66"/>
      <c r="EH16" s="66"/>
      <c r="EI16" s="59"/>
      <c r="EJ16" s="58"/>
      <c r="EK16" s="67"/>
      <c r="EL16" s="58"/>
      <c r="EM16" s="64"/>
      <c r="EN16" s="68"/>
      <c r="EO16" s="25"/>
      <c r="GL16" s="17"/>
    </row>
    <row r="17" spans="2:194" s="17" customFormat="1" ht="31.95" customHeight="1" thickTop="1" thickBot="1" x14ac:dyDescent="0.35">
      <c r="B17" s="16" t="s">
        <v>9</v>
      </c>
      <c r="C17" s="16"/>
      <c r="D17" s="41"/>
      <c r="J17" s="124"/>
      <c r="K17" s="124"/>
      <c r="L17" s="124"/>
      <c r="M17" s="124"/>
      <c r="S17" s="18"/>
      <c r="T17" s="19" t="s">
        <v>19</v>
      </c>
      <c r="U17" s="19"/>
      <c r="V17" s="41"/>
      <c r="W17" s="18"/>
      <c r="X17" s="18"/>
      <c r="Y17" s="18"/>
      <c r="Z17" s="18"/>
      <c r="AA17" s="18"/>
      <c r="AB17" s="124"/>
      <c r="AC17" s="124"/>
      <c r="AD17" s="124"/>
      <c r="AE17" s="124"/>
      <c r="AF17" s="20"/>
      <c r="AG17" s="18"/>
      <c r="AJ17" s="18"/>
      <c r="AK17" s="18"/>
      <c r="AL17" s="19" t="s">
        <v>29</v>
      </c>
      <c r="AM17" s="19"/>
      <c r="AN17" s="41"/>
      <c r="AO17" s="18"/>
      <c r="AP17" s="18"/>
      <c r="AQ17" s="18"/>
      <c r="AR17" s="18"/>
      <c r="AS17" s="18"/>
      <c r="AT17" s="124"/>
      <c r="AU17" s="124"/>
      <c r="AV17" s="124"/>
      <c r="AW17" s="124"/>
      <c r="AX17" s="20"/>
      <c r="AY17" s="18"/>
      <c r="BB17" s="18"/>
      <c r="BC17" s="18"/>
      <c r="BD17" s="19" t="s">
        <v>39</v>
      </c>
      <c r="BE17" s="19"/>
      <c r="BF17" s="41"/>
      <c r="BG17" s="18"/>
      <c r="BH17" s="18"/>
      <c r="BI17" s="18"/>
      <c r="BJ17" s="18"/>
      <c r="BK17" s="18"/>
      <c r="BL17" s="124"/>
      <c r="BM17" s="124"/>
      <c r="BN17" s="124"/>
      <c r="BO17" s="124"/>
      <c r="BP17" s="20"/>
      <c r="BQ17" s="18"/>
      <c r="BT17" s="18"/>
      <c r="BU17" s="18"/>
      <c r="BV17" s="19" t="s">
        <v>49</v>
      </c>
      <c r="BW17" s="19"/>
      <c r="BX17" s="41"/>
      <c r="BY17" s="18"/>
      <c r="BZ17" s="18"/>
      <c r="CA17" s="18"/>
      <c r="CB17" s="18"/>
      <c r="CC17" s="18"/>
      <c r="CD17" s="124"/>
      <c r="CE17" s="124"/>
      <c r="CF17" s="124"/>
      <c r="CG17" s="124"/>
      <c r="CH17" s="20"/>
      <c r="CI17" s="18"/>
      <c r="CL17" s="18"/>
      <c r="CM17" s="18"/>
      <c r="CN17" s="19" t="s">
        <v>59</v>
      </c>
      <c r="CO17" s="19"/>
      <c r="CP17" s="41"/>
      <c r="CQ17" s="18"/>
      <c r="CR17" s="18"/>
      <c r="CS17" s="18"/>
      <c r="CT17" s="18"/>
      <c r="CU17" s="18"/>
      <c r="CV17" s="124"/>
      <c r="CW17" s="124"/>
      <c r="CX17" s="124"/>
      <c r="CY17" s="124"/>
      <c r="CZ17" s="20"/>
      <c r="DA17" s="18"/>
      <c r="DD17" s="4"/>
      <c r="DE17" s="4"/>
      <c r="DF17" s="15" t="s">
        <v>69</v>
      </c>
      <c r="DG17" s="15"/>
      <c r="DH17" s="41"/>
      <c r="DI17" s="4"/>
      <c r="DJ17" s="4"/>
      <c r="DK17" s="4"/>
      <c r="DL17" s="4"/>
      <c r="DM17" s="4"/>
      <c r="DR17" s="21"/>
      <c r="DS17" s="4"/>
      <c r="DX17" s="56" t="s">
        <v>80</v>
      </c>
      <c r="DY17" s="56"/>
      <c r="DZ17" s="81">
        <f>DH19</f>
        <v>0</v>
      </c>
      <c r="EA17" s="81">
        <f>DH11</f>
        <v>0</v>
      </c>
      <c r="EB17" s="81">
        <f>DH5</f>
        <v>0</v>
      </c>
      <c r="EC17" s="81">
        <f>DH21</f>
        <v>0</v>
      </c>
      <c r="ED17" s="81">
        <f>DH13</f>
        <v>0</v>
      </c>
      <c r="EE17" s="81">
        <f>DH17</f>
        <v>0</v>
      </c>
      <c r="EF17" s="81">
        <f>DH7</f>
        <v>0</v>
      </c>
      <c r="EG17" s="81">
        <f>DH15</f>
        <v>0</v>
      </c>
      <c r="EH17" s="81">
        <f>DH9</f>
        <v>0</v>
      </c>
      <c r="EI17" s="59"/>
      <c r="EJ17" s="61"/>
      <c r="EK17" s="62" t="s">
        <v>88</v>
      </c>
      <c r="EL17" s="63"/>
      <c r="EM17" s="64">
        <f>EF19</f>
        <v>0</v>
      </c>
      <c r="EN17" s="65"/>
      <c r="EO17" s="26"/>
    </row>
    <row r="18" spans="2:194" ht="4.95" customHeight="1" thickTop="1" thickBot="1" x14ac:dyDescent="0.35">
      <c r="S18" s="4"/>
      <c r="T18" s="15"/>
      <c r="U18" s="15"/>
      <c r="V18" s="2"/>
      <c r="W18" s="4"/>
      <c r="X18" s="4"/>
      <c r="Y18" s="4"/>
      <c r="Z18" s="4"/>
      <c r="AA18" s="4"/>
      <c r="AB18" s="4"/>
      <c r="AC18" s="4"/>
      <c r="AD18" s="4"/>
      <c r="AE18" s="4"/>
      <c r="AF18" s="4"/>
      <c r="AG18" s="4"/>
      <c r="AJ18" s="4"/>
      <c r="AK18" s="4"/>
      <c r="AL18" s="15"/>
      <c r="AM18" s="15"/>
      <c r="AN18" s="2"/>
      <c r="AO18" s="4"/>
      <c r="AP18" s="4"/>
      <c r="AQ18" s="4"/>
      <c r="AR18" s="4"/>
      <c r="AS18" s="4"/>
      <c r="AT18" s="4"/>
      <c r="AU18" s="4"/>
      <c r="AV18" s="4"/>
      <c r="AW18" s="4"/>
      <c r="AX18" s="4"/>
      <c r="AY18" s="4"/>
      <c r="BB18" s="4"/>
      <c r="BC18" s="4"/>
      <c r="BD18" s="15"/>
      <c r="BE18" s="15"/>
      <c r="BF18" s="2"/>
      <c r="BG18" s="4"/>
      <c r="BH18" s="4"/>
      <c r="BI18" s="4"/>
      <c r="BJ18" s="4"/>
      <c r="BK18" s="4"/>
      <c r="BL18" s="4"/>
      <c r="BM18" s="4"/>
      <c r="BN18" s="4"/>
      <c r="BO18" s="4"/>
      <c r="BP18" s="4"/>
      <c r="BQ18" s="4"/>
      <c r="BT18" s="4"/>
      <c r="BU18" s="4"/>
      <c r="BV18" s="15"/>
      <c r="BW18" s="15"/>
      <c r="BX18" s="2"/>
      <c r="BY18" s="4"/>
      <c r="BZ18" s="4"/>
      <c r="CA18" s="4"/>
      <c r="CB18" s="4"/>
      <c r="CC18" s="4"/>
      <c r="CD18" s="4"/>
      <c r="CE18" s="4"/>
      <c r="CF18" s="4"/>
      <c r="CG18" s="4"/>
      <c r="CH18" s="4"/>
      <c r="CI18" s="4"/>
      <c r="CL18" s="4"/>
      <c r="CM18" s="4"/>
      <c r="CN18" s="15"/>
      <c r="CO18" s="15"/>
      <c r="CP18" s="2"/>
      <c r="CQ18" s="4"/>
      <c r="CR18" s="4"/>
      <c r="CS18" s="4"/>
      <c r="CT18" s="4"/>
      <c r="CU18" s="4"/>
      <c r="CV18" s="4"/>
      <c r="CW18" s="4"/>
      <c r="CX18" s="4"/>
      <c r="CY18" s="4"/>
      <c r="CZ18" s="4"/>
      <c r="DA18" s="4"/>
      <c r="DD18" s="4"/>
      <c r="DE18" s="4"/>
      <c r="DF18" s="15"/>
      <c r="DG18" s="15"/>
      <c r="DH18" s="2"/>
      <c r="DI18" s="4"/>
      <c r="DJ18" s="4"/>
      <c r="DK18" s="4"/>
      <c r="DL18" s="4"/>
      <c r="DM18" s="4"/>
      <c r="DN18" s="4"/>
      <c r="DO18" s="4"/>
      <c r="DP18" s="4"/>
      <c r="DQ18" s="4"/>
      <c r="DR18" s="4"/>
      <c r="DS18" s="4"/>
      <c r="DX18" s="66"/>
      <c r="DY18" s="56"/>
      <c r="DZ18" s="66"/>
      <c r="EA18" s="66"/>
      <c r="EB18" s="66"/>
      <c r="EC18" s="66"/>
      <c r="ED18" s="66"/>
      <c r="EE18" s="66"/>
      <c r="EF18" s="66"/>
      <c r="EG18" s="66"/>
      <c r="EH18" s="66"/>
      <c r="EI18" s="59"/>
      <c r="EJ18" s="58"/>
      <c r="EK18" s="67"/>
      <c r="EL18" s="58"/>
      <c r="EM18" s="64"/>
      <c r="EN18" s="68"/>
      <c r="EO18" s="25"/>
      <c r="GL18" s="17"/>
    </row>
    <row r="19" spans="2:194" s="17" customFormat="1" ht="31.95" customHeight="1" thickTop="1" thickBot="1" x14ac:dyDescent="0.35">
      <c r="B19" s="16" t="s">
        <v>10</v>
      </c>
      <c r="C19" s="16"/>
      <c r="D19" s="41"/>
      <c r="S19" s="18"/>
      <c r="T19" s="19" t="s">
        <v>20</v>
      </c>
      <c r="U19" s="19"/>
      <c r="V19" s="41"/>
      <c r="W19" s="18"/>
      <c r="X19" s="18"/>
      <c r="Y19" s="18"/>
      <c r="Z19" s="18"/>
      <c r="AA19" s="18"/>
      <c r="AB19" s="18"/>
      <c r="AC19" s="18"/>
      <c r="AD19" s="18"/>
      <c r="AE19" s="18"/>
      <c r="AF19" s="18"/>
      <c r="AG19" s="18"/>
      <c r="AJ19" s="18"/>
      <c r="AK19" s="18"/>
      <c r="AL19" s="19" t="s">
        <v>30</v>
      </c>
      <c r="AM19" s="19"/>
      <c r="AN19" s="41"/>
      <c r="AO19" s="18"/>
      <c r="AP19" s="18"/>
      <c r="AQ19" s="18"/>
      <c r="AR19" s="18"/>
      <c r="AS19" s="18"/>
      <c r="AT19" s="18"/>
      <c r="AU19" s="18"/>
      <c r="AV19" s="18"/>
      <c r="AW19" s="18"/>
      <c r="AX19" s="18"/>
      <c r="AY19" s="18"/>
      <c r="BB19" s="18"/>
      <c r="BC19" s="18"/>
      <c r="BD19" s="19" t="s">
        <v>40</v>
      </c>
      <c r="BE19" s="19"/>
      <c r="BF19" s="41"/>
      <c r="BG19" s="18"/>
      <c r="BH19" s="18"/>
      <c r="BI19" s="18"/>
      <c r="BJ19" s="18"/>
      <c r="BK19" s="18"/>
      <c r="BL19" s="18"/>
      <c r="BM19" s="18"/>
      <c r="BN19" s="18"/>
      <c r="BO19" s="18"/>
      <c r="BP19" s="18"/>
      <c r="BQ19" s="18"/>
      <c r="BT19" s="18"/>
      <c r="BU19" s="18"/>
      <c r="BV19" s="19" t="s">
        <v>50</v>
      </c>
      <c r="BW19" s="19"/>
      <c r="BX19" s="41"/>
      <c r="BY19" s="18"/>
      <c r="BZ19" s="18"/>
      <c r="CA19" s="18"/>
      <c r="CB19" s="18"/>
      <c r="CC19" s="18"/>
      <c r="CD19" s="18"/>
      <c r="CE19" s="18"/>
      <c r="CF19" s="18"/>
      <c r="CG19" s="18"/>
      <c r="CH19" s="18"/>
      <c r="CI19" s="18"/>
      <c r="CL19" s="18"/>
      <c r="CM19" s="18"/>
      <c r="CN19" s="19" t="s">
        <v>60</v>
      </c>
      <c r="CO19" s="19"/>
      <c r="CP19" s="41"/>
      <c r="CQ19" s="18"/>
      <c r="CR19" s="18"/>
      <c r="CS19" s="18"/>
      <c r="CT19" s="18"/>
      <c r="CU19" s="18"/>
      <c r="CV19" s="18"/>
      <c r="CW19" s="18"/>
      <c r="CX19" s="18"/>
      <c r="CY19" s="18"/>
      <c r="CZ19" s="18"/>
      <c r="DA19" s="18"/>
      <c r="DD19" s="4"/>
      <c r="DE19" s="4"/>
      <c r="DF19" s="15" t="s">
        <v>70</v>
      </c>
      <c r="DG19" s="15"/>
      <c r="DH19" s="41"/>
      <c r="DI19" s="4"/>
      <c r="DJ19" s="4"/>
      <c r="DK19" s="4"/>
      <c r="DL19" s="4"/>
      <c r="DM19" s="4"/>
      <c r="DN19" s="4"/>
      <c r="DO19" s="4"/>
      <c r="DP19" s="4"/>
      <c r="DQ19" s="4"/>
      <c r="DR19" s="4"/>
      <c r="DS19" s="4"/>
      <c r="DX19" s="76" t="s">
        <v>73</v>
      </c>
      <c r="DY19" s="77"/>
      <c r="DZ19" s="78">
        <f t="shared" ref="DZ19:EH19" si="0">SUM(DZ5:DZ17)</f>
        <v>0</v>
      </c>
      <c r="EA19" s="78">
        <f t="shared" si="0"/>
        <v>0</v>
      </c>
      <c r="EB19" s="78">
        <f t="shared" si="0"/>
        <v>0</v>
      </c>
      <c r="EC19" s="78">
        <f t="shared" si="0"/>
        <v>0</v>
      </c>
      <c r="ED19" s="78">
        <f t="shared" si="0"/>
        <v>0</v>
      </c>
      <c r="EE19" s="78">
        <f t="shared" si="0"/>
        <v>0</v>
      </c>
      <c r="EF19" s="78">
        <f t="shared" si="0"/>
        <v>0</v>
      </c>
      <c r="EG19" s="78">
        <f t="shared" si="0"/>
        <v>0</v>
      </c>
      <c r="EH19" s="79">
        <f t="shared" si="0"/>
        <v>0</v>
      </c>
      <c r="EI19" s="69" t="str">
        <f>IF(SUM(DZ19:EH19)=70,"OK","Checksum NOK")</f>
        <v>Checksum NOK</v>
      </c>
      <c r="EJ19" s="61"/>
      <c r="EK19" s="74" t="s">
        <v>89</v>
      </c>
      <c r="EL19" s="75"/>
      <c r="EM19" s="64">
        <f>EG19</f>
        <v>0</v>
      </c>
      <c r="EN19" s="65"/>
      <c r="EO19" s="26"/>
    </row>
    <row r="20" spans="2:194" ht="4.95" customHeight="1" thickTop="1" thickBot="1" x14ac:dyDescent="0.35">
      <c r="S20" s="4"/>
      <c r="T20" s="15"/>
      <c r="U20" s="15"/>
      <c r="V20" s="2"/>
      <c r="W20" s="4"/>
      <c r="X20" s="4"/>
      <c r="Y20" s="4"/>
      <c r="Z20" s="4"/>
      <c r="AA20" s="4"/>
      <c r="AB20" s="4"/>
      <c r="AC20" s="4"/>
      <c r="AD20" s="4"/>
      <c r="AE20" s="4"/>
      <c r="AF20" s="4"/>
      <c r="AG20" s="4"/>
      <c r="AJ20" s="4"/>
      <c r="AK20" s="4"/>
      <c r="AL20" s="15"/>
      <c r="AM20" s="15"/>
      <c r="AN20" s="2"/>
      <c r="AO20" s="4"/>
      <c r="AP20" s="4"/>
      <c r="AQ20" s="4"/>
      <c r="AR20" s="4"/>
      <c r="AS20" s="4"/>
      <c r="AT20" s="4"/>
      <c r="AU20" s="4"/>
      <c r="AV20" s="4"/>
      <c r="AW20" s="4"/>
      <c r="AX20" s="4"/>
      <c r="AY20" s="4"/>
      <c r="BB20" s="4"/>
      <c r="BC20" s="4"/>
      <c r="BD20" s="15"/>
      <c r="BE20" s="15"/>
      <c r="BF20" s="2"/>
      <c r="BG20" s="4"/>
      <c r="BH20" s="4"/>
      <c r="BI20" s="4"/>
      <c r="BJ20" s="4"/>
      <c r="BK20" s="4"/>
      <c r="BL20" s="4"/>
      <c r="BM20" s="4"/>
      <c r="BN20" s="4"/>
      <c r="BO20" s="4"/>
      <c r="BP20" s="4"/>
      <c r="BQ20" s="4"/>
      <c r="BT20" s="4"/>
      <c r="BU20" s="4"/>
      <c r="BV20" s="15"/>
      <c r="BW20" s="15"/>
      <c r="BX20" s="2"/>
      <c r="BY20" s="4"/>
      <c r="BZ20" s="4"/>
      <c r="CA20" s="4"/>
      <c r="CB20" s="4"/>
      <c r="CC20" s="4"/>
      <c r="CD20" s="4"/>
      <c r="CE20" s="4"/>
      <c r="CF20" s="4"/>
      <c r="CG20" s="4"/>
      <c r="CH20" s="4"/>
      <c r="CI20" s="4"/>
      <c r="CL20" s="4"/>
      <c r="CM20" s="4"/>
      <c r="CN20" s="15"/>
      <c r="CO20" s="15"/>
      <c r="CP20" s="2"/>
      <c r="CQ20" s="4"/>
      <c r="CR20" s="4"/>
      <c r="CS20" s="4"/>
      <c r="CT20" s="4"/>
      <c r="CU20" s="4"/>
      <c r="CV20" s="4"/>
      <c r="CW20" s="4"/>
      <c r="CX20" s="4"/>
      <c r="CY20" s="4"/>
      <c r="CZ20" s="4"/>
      <c r="DA20" s="4"/>
      <c r="DD20" s="4"/>
      <c r="DE20" s="4"/>
      <c r="DF20" s="15"/>
      <c r="DG20" s="15"/>
      <c r="DH20" s="2"/>
      <c r="DI20" s="4"/>
      <c r="DJ20" s="4"/>
      <c r="DK20" s="4"/>
      <c r="DL20" s="4"/>
      <c r="DM20" s="4"/>
      <c r="DN20" s="4"/>
      <c r="DO20" s="4"/>
      <c r="DP20" s="4"/>
      <c r="DQ20" s="4"/>
      <c r="DR20" s="4"/>
      <c r="DS20" s="4"/>
      <c r="DX20" s="58"/>
      <c r="DY20" s="58"/>
      <c r="DZ20" s="58"/>
      <c r="EA20" s="58"/>
      <c r="EB20" s="70"/>
      <c r="EC20" s="70"/>
      <c r="ED20" s="70"/>
      <c r="EE20" s="70"/>
      <c r="EF20" s="70"/>
      <c r="EG20" s="70"/>
      <c r="EH20" s="70"/>
      <c r="EI20" s="59"/>
      <c r="EJ20" s="58"/>
      <c r="EK20" s="67"/>
      <c r="EL20" s="58"/>
      <c r="EM20" s="64"/>
      <c r="EN20" s="68"/>
      <c r="EO20" s="25"/>
      <c r="GL20" s="17"/>
    </row>
    <row r="21" spans="2:194" s="17" customFormat="1" ht="31.95" customHeight="1" thickTop="1" thickBot="1" x14ac:dyDescent="0.35">
      <c r="B21" s="16" t="s">
        <v>11</v>
      </c>
      <c r="C21" s="16"/>
      <c r="D21" s="41"/>
      <c r="S21" s="18"/>
      <c r="T21" s="19" t="s">
        <v>21</v>
      </c>
      <c r="U21" s="19"/>
      <c r="V21" s="41"/>
      <c r="W21" s="18"/>
      <c r="X21" s="18"/>
      <c r="Y21" s="18"/>
      <c r="Z21" s="18"/>
      <c r="AA21" s="18"/>
      <c r="AB21" s="18"/>
      <c r="AC21" s="18"/>
      <c r="AD21" s="18"/>
      <c r="AE21" s="18"/>
      <c r="AF21" s="18"/>
      <c r="AG21" s="18"/>
      <c r="AJ21" s="18"/>
      <c r="AK21" s="18"/>
      <c r="AL21" s="19" t="s">
        <v>31</v>
      </c>
      <c r="AM21" s="19"/>
      <c r="AN21" s="41"/>
      <c r="AO21" s="18"/>
      <c r="AP21" s="18"/>
      <c r="AQ21" s="18"/>
      <c r="AR21" s="18"/>
      <c r="AS21" s="18"/>
      <c r="AT21" s="18"/>
      <c r="AU21" s="18"/>
      <c r="AV21" s="18"/>
      <c r="AW21" s="18"/>
      <c r="AX21" s="18"/>
      <c r="AY21" s="18"/>
      <c r="BB21" s="18"/>
      <c r="BC21" s="18"/>
      <c r="BD21" s="19" t="s">
        <v>41</v>
      </c>
      <c r="BE21" s="19"/>
      <c r="BF21" s="41"/>
      <c r="BG21" s="18"/>
      <c r="BH21" s="18"/>
      <c r="BI21" s="18"/>
      <c r="BJ21" s="18"/>
      <c r="BK21" s="18"/>
      <c r="BL21" s="18"/>
      <c r="BM21" s="18"/>
      <c r="BN21" s="18"/>
      <c r="BO21" s="18"/>
      <c r="BP21" s="18"/>
      <c r="BQ21" s="18"/>
      <c r="BT21" s="18"/>
      <c r="BU21" s="18"/>
      <c r="BV21" s="19" t="s">
        <v>51</v>
      </c>
      <c r="BW21" s="19"/>
      <c r="BX21" s="41"/>
      <c r="BY21" s="18"/>
      <c r="BZ21" s="18"/>
      <c r="CA21" s="18"/>
      <c r="CB21" s="18"/>
      <c r="CC21" s="18"/>
      <c r="CD21" s="18"/>
      <c r="CE21" s="18"/>
      <c r="CF21" s="18"/>
      <c r="CG21" s="18"/>
      <c r="CH21" s="18"/>
      <c r="CI21" s="18"/>
      <c r="CL21" s="18"/>
      <c r="CM21" s="18"/>
      <c r="CN21" s="19" t="s">
        <v>61</v>
      </c>
      <c r="CO21" s="19"/>
      <c r="CP21" s="41"/>
      <c r="CQ21" s="18"/>
      <c r="CR21" s="18"/>
      <c r="CS21" s="18"/>
      <c r="CT21" s="18"/>
      <c r="CU21" s="18"/>
      <c r="CV21" s="18"/>
      <c r="CW21" s="18"/>
      <c r="CX21" s="18"/>
      <c r="CY21" s="18"/>
      <c r="CZ21" s="18"/>
      <c r="DA21" s="18"/>
      <c r="DD21" s="4"/>
      <c r="DE21" s="4"/>
      <c r="DF21" s="15" t="s">
        <v>71</v>
      </c>
      <c r="DG21" s="15"/>
      <c r="DH21" s="41"/>
      <c r="DI21" s="4"/>
      <c r="DJ21" s="4"/>
      <c r="DK21" s="4"/>
      <c r="DL21" s="4"/>
      <c r="DM21" s="4"/>
      <c r="DN21" s="4"/>
      <c r="DO21" s="4"/>
      <c r="DP21" s="4"/>
      <c r="DQ21" s="4"/>
      <c r="DR21" s="4"/>
      <c r="DS21" s="4"/>
      <c r="DX21" s="56" t="s">
        <v>91</v>
      </c>
      <c r="DY21" s="55"/>
      <c r="DZ21" s="55"/>
      <c r="EA21" s="55"/>
      <c r="EB21" s="70"/>
      <c r="EC21" s="70"/>
      <c r="ED21" s="70"/>
      <c r="EE21" s="70"/>
      <c r="EF21" s="70"/>
      <c r="EG21" s="70"/>
      <c r="EH21" s="70"/>
      <c r="EI21" s="59"/>
      <c r="EJ21" s="61"/>
      <c r="EK21" s="62" t="s">
        <v>90</v>
      </c>
      <c r="EL21" s="63"/>
      <c r="EM21" s="64">
        <f>EH19</f>
        <v>0</v>
      </c>
      <c r="EN21" s="65"/>
      <c r="EO21" s="26"/>
    </row>
    <row r="22" spans="2:194" ht="4.95" customHeight="1" thickTop="1" x14ac:dyDescent="0.3">
      <c r="D22" s="42"/>
      <c r="V22" s="42"/>
      <c r="AJ22" s="4"/>
      <c r="AK22" s="4"/>
      <c r="AL22" s="5"/>
      <c r="AM22" s="5"/>
      <c r="AN22" s="42"/>
      <c r="AO22" s="4"/>
      <c r="AP22" s="4"/>
      <c r="AQ22" s="4"/>
      <c r="AR22" s="4"/>
      <c r="AS22" s="4"/>
      <c r="AT22" s="4"/>
      <c r="AU22" s="4"/>
      <c r="AV22" s="4"/>
      <c r="AW22" s="4"/>
      <c r="AX22" s="4"/>
      <c r="AY22" s="4"/>
      <c r="BB22" s="4"/>
      <c r="BC22" s="4"/>
      <c r="BD22" s="5"/>
      <c r="BE22" s="5"/>
      <c r="BF22" s="42"/>
      <c r="BG22" s="4"/>
      <c r="BH22" s="4"/>
      <c r="BI22" s="4"/>
      <c r="BJ22" s="4"/>
      <c r="BK22" s="4"/>
      <c r="BL22" s="4"/>
      <c r="BM22" s="4"/>
      <c r="BN22" s="4"/>
      <c r="BO22" s="4"/>
      <c r="BP22" s="4"/>
      <c r="BQ22" s="4"/>
      <c r="BT22" s="4"/>
      <c r="BU22" s="4"/>
      <c r="BV22" s="5"/>
      <c r="BW22" s="5"/>
      <c r="BX22" s="42"/>
      <c r="BY22" s="4"/>
      <c r="BZ22" s="4"/>
      <c r="CA22" s="4"/>
      <c r="CB22" s="4"/>
      <c r="CC22" s="4"/>
      <c r="CD22" s="4"/>
      <c r="CE22" s="4"/>
      <c r="CF22" s="4"/>
      <c r="CG22" s="4"/>
      <c r="CH22" s="4"/>
      <c r="CI22" s="4"/>
      <c r="CL22" s="4"/>
      <c r="CM22" s="4"/>
      <c r="CN22" s="15"/>
      <c r="CO22" s="15"/>
      <c r="CP22" s="42"/>
      <c r="CQ22" s="4"/>
      <c r="CR22" s="4"/>
      <c r="CS22" s="4"/>
      <c r="CT22" s="4"/>
      <c r="CU22" s="4"/>
      <c r="CV22" s="4"/>
      <c r="CW22" s="4"/>
      <c r="CX22" s="4"/>
      <c r="CY22" s="4"/>
      <c r="CZ22" s="4"/>
      <c r="DA22" s="4"/>
      <c r="DD22" s="4"/>
      <c r="DE22" s="4"/>
      <c r="DF22" s="5"/>
      <c r="DG22" s="5"/>
      <c r="DH22" s="42"/>
      <c r="DI22" s="4"/>
      <c r="DJ22" s="4"/>
      <c r="DK22" s="4"/>
      <c r="DL22" s="4"/>
      <c r="DM22" s="4"/>
      <c r="DN22" s="4"/>
      <c r="DO22" s="4"/>
      <c r="DP22" s="4"/>
      <c r="DQ22" s="4"/>
      <c r="DR22" s="4"/>
      <c r="DS22" s="4"/>
      <c r="DX22" s="58"/>
      <c r="DY22" s="58"/>
      <c r="DZ22" s="58"/>
      <c r="EA22" s="70"/>
      <c r="EB22" s="70"/>
      <c r="EC22" s="70"/>
      <c r="ED22" s="70"/>
      <c r="EE22" s="70"/>
      <c r="EF22" s="70"/>
      <c r="EG22" s="70"/>
      <c r="EH22" s="70"/>
      <c r="EI22" s="59"/>
      <c r="EJ22" s="55"/>
      <c r="EK22" s="55"/>
      <c r="EL22" s="55"/>
      <c r="EM22" s="55"/>
      <c r="EN22" s="55"/>
      <c r="GL22" s="17"/>
    </row>
    <row r="23" spans="2:194" ht="12.75" customHeight="1" x14ac:dyDescent="0.3">
      <c r="F23" s="122"/>
      <c r="G23" s="122"/>
      <c r="H23" s="122"/>
      <c r="I23" s="122"/>
      <c r="J23" s="122"/>
      <c r="K23" s="122"/>
      <c r="L23" s="122"/>
      <c r="M23" s="122"/>
      <c r="N23" s="122"/>
      <c r="DX23" s="58"/>
      <c r="DY23" s="58"/>
      <c r="DZ23" s="58"/>
      <c r="EA23" s="71"/>
      <c r="EB23" s="70"/>
      <c r="EC23" s="70"/>
      <c r="ED23" s="70"/>
      <c r="EE23" s="70"/>
      <c r="EF23" s="70"/>
      <c r="EG23" s="70"/>
      <c r="EH23" s="70"/>
      <c r="EI23" s="59"/>
      <c r="EJ23" s="58"/>
      <c r="EK23" s="58"/>
      <c r="EL23" s="58"/>
      <c r="EM23" s="58"/>
      <c r="EN23" s="58"/>
      <c r="GL23" s="17"/>
    </row>
    <row r="24" spans="2:194" s="17" customFormat="1" ht="19.95" customHeight="1" x14ac:dyDescent="0.3">
      <c r="B24" s="16"/>
      <c r="C24" s="16"/>
      <c r="D24" s="2"/>
      <c r="F24" s="122"/>
      <c r="G24" s="122"/>
      <c r="H24" s="122"/>
      <c r="I24" s="122"/>
      <c r="J24" s="122"/>
      <c r="K24" s="122"/>
      <c r="L24" s="122"/>
      <c r="M24" s="122"/>
      <c r="N24" s="122"/>
      <c r="DX24" s="55"/>
      <c r="DY24" s="55"/>
      <c r="DZ24" s="55"/>
      <c r="EA24" s="55"/>
      <c r="EB24" s="72"/>
      <c r="EC24" s="72"/>
      <c r="ED24" s="72"/>
      <c r="EE24" s="72"/>
      <c r="EF24" s="72"/>
      <c r="EG24" s="72"/>
      <c r="EH24" s="72"/>
      <c r="EI24" s="62"/>
      <c r="EJ24" s="55"/>
      <c r="EK24" s="55"/>
      <c r="EL24" s="55"/>
      <c r="EM24" s="55"/>
      <c r="EN24" s="55"/>
    </row>
    <row r="25" spans="2:194" s="17" customFormat="1" ht="19.95" customHeight="1" x14ac:dyDescent="0.3">
      <c r="B25" s="16"/>
      <c r="C25" s="16"/>
      <c r="D25" s="2"/>
      <c r="F25" s="122"/>
      <c r="G25" s="122"/>
      <c r="H25" s="122"/>
      <c r="I25" s="122"/>
      <c r="J25" s="122"/>
      <c r="K25" s="122"/>
      <c r="L25" s="122"/>
      <c r="M25" s="122"/>
      <c r="N25" s="122"/>
      <c r="DX25" s="55"/>
      <c r="DY25" s="55"/>
      <c r="DZ25" s="55"/>
      <c r="EA25" s="55"/>
      <c r="EB25" s="72"/>
      <c r="EC25" s="72"/>
      <c r="ED25" s="72"/>
      <c r="EE25" s="72"/>
      <c r="EF25" s="72"/>
      <c r="EG25" s="72"/>
      <c r="EH25" s="72"/>
      <c r="EI25" s="62"/>
      <c r="EJ25" s="55"/>
      <c r="EK25" s="55"/>
      <c r="EL25" s="55"/>
      <c r="EM25" s="55"/>
      <c r="EN25" s="55"/>
    </row>
    <row r="26" spans="2:194" s="17" customFormat="1" ht="19.95" customHeight="1" x14ac:dyDescent="0.3">
      <c r="B26" s="16"/>
      <c r="C26" s="16"/>
      <c r="D26" s="2"/>
      <c r="DX26" s="55"/>
      <c r="DY26" s="55"/>
      <c r="DZ26" s="55"/>
      <c r="EA26" s="55"/>
      <c r="EB26" s="55"/>
      <c r="EC26" s="55"/>
      <c r="ED26" s="55"/>
      <c r="EE26" s="55"/>
      <c r="EF26" s="55"/>
      <c r="EG26" s="55"/>
      <c r="EH26" s="55"/>
      <c r="EI26" s="55"/>
      <c r="EJ26" s="55"/>
      <c r="EK26" s="55"/>
      <c r="EL26" s="55"/>
      <c r="EM26" s="55"/>
      <c r="EN26" s="55"/>
    </row>
    <row r="27" spans="2:194" s="17" customFormat="1" ht="19.95" customHeight="1" x14ac:dyDescent="0.3">
      <c r="B27" s="16"/>
      <c r="C27" s="16"/>
      <c r="D27" s="2"/>
      <c r="DX27" s="55"/>
      <c r="DY27" s="55"/>
      <c r="DZ27" s="55"/>
      <c r="EA27" s="55"/>
      <c r="EB27" s="55"/>
      <c r="EC27" s="55"/>
      <c r="ED27" s="55"/>
      <c r="EE27" s="55"/>
      <c r="EF27" s="55"/>
      <c r="EG27" s="55"/>
      <c r="EH27" s="55"/>
      <c r="EI27" s="55"/>
      <c r="EJ27" s="55"/>
      <c r="EK27" s="55"/>
      <c r="EL27" s="55"/>
      <c r="EM27" s="55"/>
      <c r="EN27" s="55"/>
    </row>
    <row r="28" spans="2:194" s="17" customFormat="1" ht="19.95" customHeight="1" x14ac:dyDescent="0.3">
      <c r="B28" s="16"/>
      <c r="C28" s="16"/>
      <c r="D28" s="2"/>
      <c r="DX28" s="55"/>
      <c r="DY28" s="55"/>
      <c r="DZ28" s="55"/>
      <c r="EA28" s="55"/>
      <c r="EB28" s="55"/>
      <c r="EC28" s="55"/>
      <c r="ED28" s="55"/>
      <c r="EE28" s="55"/>
      <c r="EF28" s="55"/>
      <c r="EG28" s="55"/>
      <c r="EH28" s="55"/>
      <c r="EI28" s="55"/>
      <c r="EJ28" s="55"/>
      <c r="EK28" s="55"/>
      <c r="EL28" s="55"/>
      <c r="EM28" s="55"/>
      <c r="EN28" s="55"/>
    </row>
    <row r="29" spans="2:194" s="17" customFormat="1" ht="19.95" customHeight="1" x14ac:dyDescent="0.3">
      <c r="B29" s="16"/>
      <c r="C29" s="16"/>
      <c r="D29" s="2"/>
      <c r="P29" s="18"/>
      <c r="Q29" s="18"/>
      <c r="R29" s="18"/>
      <c r="S29" s="18"/>
      <c r="DX29" s="55"/>
      <c r="DY29" s="55"/>
      <c r="DZ29" s="55"/>
      <c r="EA29" s="55"/>
      <c r="EB29" s="55"/>
      <c r="EC29" s="55"/>
      <c r="ED29" s="55"/>
      <c r="EE29" s="55"/>
      <c r="EF29" s="55"/>
      <c r="EG29" s="55"/>
      <c r="EH29" s="55"/>
      <c r="EI29" s="55"/>
      <c r="EJ29" s="55"/>
      <c r="EK29" s="55"/>
      <c r="EL29" s="55"/>
      <c r="EM29" s="55"/>
      <c r="EN29" s="55"/>
    </row>
    <row r="30" spans="2:194" s="17" customFormat="1" ht="19.95" customHeight="1" x14ac:dyDescent="0.3">
      <c r="B30" s="16"/>
      <c r="C30" s="16"/>
      <c r="D30" s="2"/>
      <c r="P30" s="10"/>
      <c r="Q30" s="10"/>
      <c r="R30" s="10"/>
      <c r="S30" s="10"/>
      <c r="DX30" s="55"/>
      <c r="DY30" s="55"/>
      <c r="DZ30" s="55"/>
      <c r="EA30" s="55"/>
      <c r="EB30" s="55"/>
      <c r="EC30" s="55"/>
      <c r="ED30" s="55"/>
      <c r="EE30" s="55"/>
      <c r="EF30" s="55"/>
      <c r="EG30" s="55"/>
      <c r="EH30" s="55"/>
      <c r="EI30" s="55"/>
      <c r="EJ30" s="55"/>
      <c r="EK30" s="55"/>
      <c r="EL30" s="55"/>
      <c r="EM30" s="55"/>
      <c r="EN30" s="55"/>
    </row>
    <row r="31" spans="2:194" s="17" customFormat="1" ht="19.95" customHeight="1" x14ac:dyDescent="0.3">
      <c r="B31" s="16"/>
      <c r="C31" s="16"/>
      <c r="D31" s="2"/>
      <c r="P31" s="18"/>
      <c r="Q31" s="18"/>
      <c r="R31" s="18"/>
      <c r="S31" s="18"/>
      <c r="DX31" s="55"/>
      <c r="DY31" s="55"/>
      <c r="DZ31" s="55"/>
      <c r="EA31" s="55"/>
      <c r="EB31" s="55"/>
      <c r="EC31" s="55"/>
      <c r="ED31" s="55"/>
      <c r="EE31" s="55"/>
      <c r="EF31" s="55"/>
      <c r="EG31" s="55"/>
      <c r="EH31" s="55"/>
      <c r="EI31" s="55"/>
      <c r="EJ31" s="55"/>
      <c r="EK31" s="55"/>
      <c r="EL31" s="55"/>
      <c r="EM31" s="55"/>
      <c r="EN31" s="55"/>
    </row>
    <row r="32" spans="2:194" s="17" customFormat="1" ht="19.95" customHeight="1" x14ac:dyDescent="0.3">
      <c r="B32" s="16"/>
      <c r="C32" s="16"/>
      <c r="D32" s="2"/>
      <c r="P32" s="18"/>
      <c r="Q32" s="18"/>
      <c r="R32" s="18"/>
      <c r="S32" s="18"/>
      <c r="DX32" s="55"/>
      <c r="DY32" s="55"/>
      <c r="DZ32" s="55"/>
      <c r="EA32" s="55"/>
      <c r="EB32" s="55"/>
      <c r="EC32" s="55"/>
      <c r="ED32" s="55"/>
      <c r="EE32" s="55"/>
      <c r="EF32" s="55"/>
      <c r="EG32" s="55"/>
      <c r="EH32" s="55"/>
      <c r="EI32" s="55"/>
      <c r="EJ32" s="55"/>
      <c r="EK32" s="55"/>
      <c r="EL32" s="55"/>
      <c r="EM32" s="55"/>
      <c r="EN32" s="55"/>
    </row>
    <row r="33" spans="16:144" x14ac:dyDescent="0.3">
      <c r="P33" s="4"/>
      <c r="Q33" s="4"/>
      <c r="R33" s="4"/>
      <c r="S33" s="4"/>
      <c r="DX33" s="58"/>
      <c r="DY33" s="58"/>
      <c r="DZ33" s="58"/>
      <c r="EA33" s="73"/>
      <c r="EB33" s="58"/>
      <c r="EC33" s="58"/>
      <c r="ED33" s="58"/>
      <c r="EE33" s="58"/>
      <c r="EF33" s="58"/>
      <c r="EG33" s="58"/>
      <c r="EH33" s="58"/>
      <c r="EI33" s="58"/>
      <c r="EJ33" s="58"/>
      <c r="EK33" s="58"/>
      <c r="EL33" s="58"/>
      <c r="EM33" s="58"/>
      <c r="EN33" s="58"/>
    </row>
    <row r="34" spans="16:144" x14ac:dyDescent="0.3">
      <c r="P34" s="4"/>
      <c r="Q34" s="4"/>
      <c r="R34" s="4"/>
      <c r="S34" s="4"/>
      <c r="DX34" s="58"/>
      <c r="DY34" s="58"/>
      <c r="DZ34" s="58"/>
      <c r="EA34" s="58"/>
      <c r="EB34" s="58"/>
      <c r="EC34" s="58"/>
      <c r="ED34" s="58"/>
      <c r="EE34" s="58"/>
      <c r="EF34" s="58"/>
      <c r="EG34" s="58"/>
      <c r="EH34" s="58"/>
      <c r="EI34" s="58"/>
      <c r="EJ34" s="58"/>
      <c r="EK34" s="58"/>
      <c r="EL34" s="58"/>
      <c r="EM34" s="58"/>
      <c r="EN34" s="58"/>
    </row>
    <row r="35" spans="16:144" x14ac:dyDescent="0.3">
      <c r="P35" s="4"/>
      <c r="Q35" s="4"/>
      <c r="R35" s="4"/>
      <c r="S35" s="4"/>
      <c r="DX35" s="58"/>
      <c r="DY35" s="58"/>
      <c r="DZ35" s="58"/>
      <c r="EA35" s="58"/>
      <c r="EB35" s="58"/>
      <c r="EC35" s="58"/>
      <c r="ED35" s="58"/>
      <c r="EE35" s="58"/>
      <c r="EF35" s="58"/>
      <c r="EG35" s="58"/>
      <c r="EH35" s="58"/>
      <c r="EI35" s="58"/>
      <c r="EJ35" s="58"/>
      <c r="EK35" s="58"/>
      <c r="EL35" s="58"/>
      <c r="EM35" s="58"/>
      <c r="EN35" s="58"/>
    </row>
    <row r="36" spans="16:144" x14ac:dyDescent="0.3">
      <c r="P36" s="4"/>
      <c r="Q36" s="4"/>
      <c r="R36" s="4"/>
      <c r="S36" s="4"/>
      <c r="DX36" s="58"/>
      <c r="DY36" s="58"/>
      <c r="DZ36" s="58"/>
      <c r="EA36" s="58"/>
      <c r="EB36" s="58"/>
      <c r="EC36" s="58"/>
      <c r="ED36" s="58"/>
      <c r="EE36" s="58"/>
      <c r="EF36" s="58"/>
      <c r="EG36" s="58"/>
      <c r="EH36" s="58"/>
      <c r="EI36" s="58"/>
      <c r="EJ36" s="58"/>
      <c r="EK36" s="58"/>
      <c r="EL36" s="58"/>
      <c r="EM36" s="58"/>
      <c r="EN36" s="58"/>
    </row>
    <row r="37" spans="16:144" x14ac:dyDescent="0.3">
      <c r="P37" s="4"/>
      <c r="Q37" s="4"/>
      <c r="R37" s="4"/>
      <c r="S37" s="4"/>
      <c r="DX37" s="58"/>
      <c r="DY37" s="58"/>
      <c r="DZ37" s="58"/>
      <c r="EA37" s="58"/>
      <c r="EB37" s="58"/>
      <c r="EC37" s="58"/>
      <c r="ED37" s="58"/>
      <c r="EE37" s="58"/>
      <c r="EF37" s="58"/>
      <c r="EG37" s="58"/>
      <c r="EH37" s="58"/>
      <c r="EI37" s="58"/>
      <c r="EJ37" s="58"/>
      <c r="EK37" s="58"/>
      <c r="EL37" s="58"/>
      <c r="EM37" s="58"/>
      <c r="EN37" s="58"/>
    </row>
    <row r="38" spans="16:144" x14ac:dyDescent="0.3">
      <c r="P38" s="4"/>
      <c r="Q38" s="4"/>
      <c r="R38" s="4"/>
      <c r="S38" s="4"/>
      <c r="DX38" s="58"/>
      <c r="DY38" s="58"/>
      <c r="DZ38" s="58"/>
      <c r="EA38" s="58"/>
      <c r="EB38" s="58"/>
      <c r="EC38" s="58"/>
      <c r="ED38" s="58"/>
      <c r="EE38" s="58"/>
      <c r="EF38" s="58"/>
      <c r="EG38" s="58"/>
      <c r="EH38" s="58"/>
      <c r="EI38" s="58"/>
      <c r="EJ38" s="58"/>
      <c r="EK38" s="58"/>
      <c r="EL38" s="58"/>
      <c r="EM38" s="58"/>
      <c r="EN38" s="58"/>
    </row>
    <row r="39" spans="16:144" x14ac:dyDescent="0.3">
      <c r="P39" s="4"/>
      <c r="Q39" s="4"/>
      <c r="R39" s="4"/>
      <c r="S39" s="4"/>
      <c r="DX39" s="58"/>
      <c r="DY39" s="58"/>
      <c r="DZ39" s="58"/>
      <c r="EA39" s="58"/>
      <c r="EB39" s="58"/>
      <c r="EC39" s="58"/>
      <c r="ED39" s="58"/>
      <c r="EE39" s="58"/>
      <c r="EF39" s="58"/>
      <c r="EG39" s="58"/>
      <c r="EH39" s="58"/>
      <c r="EI39" s="58"/>
      <c r="EJ39" s="58"/>
      <c r="EK39" s="58"/>
      <c r="EL39" s="58"/>
      <c r="EM39" s="58"/>
      <c r="EN39" s="58"/>
    </row>
    <row r="40" spans="16:144" x14ac:dyDescent="0.3">
      <c r="P40" s="4"/>
      <c r="Q40" s="4"/>
      <c r="R40" s="4"/>
      <c r="S40" s="4"/>
      <c r="DX40" s="58"/>
      <c r="DY40" s="58"/>
      <c r="DZ40" s="58"/>
      <c r="EA40" s="58"/>
      <c r="EB40" s="58"/>
      <c r="EC40" s="58"/>
      <c r="ED40" s="58"/>
      <c r="EE40" s="58"/>
      <c r="EF40" s="58"/>
      <c r="EG40" s="58"/>
      <c r="EH40" s="58"/>
      <c r="EI40" s="58"/>
      <c r="EJ40" s="58"/>
      <c r="EK40" s="58"/>
      <c r="EL40" s="58"/>
      <c r="EM40" s="58"/>
      <c r="EN40" s="58"/>
    </row>
    <row r="41" spans="16:144" x14ac:dyDescent="0.3">
      <c r="P41" s="4"/>
      <c r="Q41" s="4"/>
      <c r="R41" s="4"/>
      <c r="S41" s="4"/>
      <c r="DX41" s="58"/>
      <c r="DY41" s="58"/>
      <c r="DZ41" s="58"/>
      <c r="EA41" s="58"/>
      <c r="EB41" s="58"/>
      <c r="EC41" s="58"/>
      <c r="ED41" s="58"/>
      <c r="EE41" s="58"/>
      <c r="EF41" s="58"/>
      <c r="EG41" s="58"/>
      <c r="EH41" s="58"/>
      <c r="EI41" s="58"/>
      <c r="EJ41" s="58"/>
      <c r="EK41" s="58"/>
      <c r="EL41" s="58"/>
      <c r="EM41" s="58"/>
      <c r="EN41" s="58"/>
    </row>
    <row r="42" spans="16:144" x14ac:dyDescent="0.3">
      <c r="P42" s="4"/>
      <c r="Q42" s="4"/>
      <c r="R42" s="4"/>
      <c r="S42" s="4"/>
      <c r="DX42" s="58"/>
      <c r="DY42" s="58"/>
      <c r="DZ42" s="58"/>
      <c r="EA42" s="58"/>
      <c r="EB42" s="58"/>
      <c r="EC42" s="58"/>
      <c r="ED42" s="58"/>
      <c r="EE42" s="58"/>
      <c r="EF42" s="58"/>
      <c r="EG42" s="58"/>
      <c r="EH42" s="58"/>
      <c r="EI42" s="58"/>
      <c r="EJ42" s="58"/>
      <c r="EK42" s="58"/>
      <c r="EL42" s="58"/>
      <c r="EM42" s="58"/>
      <c r="EN42" s="58"/>
    </row>
    <row r="43" spans="16:144" x14ac:dyDescent="0.3">
      <c r="P43" s="4"/>
      <c r="Q43" s="4"/>
      <c r="R43" s="4"/>
      <c r="S43" s="4"/>
      <c r="DX43" s="58"/>
      <c r="DY43" s="58"/>
      <c r="DZ43" s="58"/>
      <c r="EA43" s="58"/>
      <c r="EB43" s="58"/>
      <c r="EC43" s="58"/>
      <c r="ED43" s="58"/>
      <c r="EE43" s="58"/>
      <c r="EF43" s="58"/>
      <c r="EG43" s="58"/>
      <c r="EH43" s="58"/>
      <c r="EI43" s="58"/>
      <c r="EJ43" s="58"/>
      <c r="EK43" s="58"/>
      <c r="EL43" s="58"/>
      <c r="EM43" s="58"/>
      <c r="EN43" s="58"/>
    </row>
    <row r="44" spans="16:144" x14ac:dyDescent="0.3">
      <c r="P44" s="4"/>
      <c r="Q44" s="4"/>
      <c r="R44" s="4"/>
      <c r="S44" s="4"/>
      <c r="DX44" s="58"/>
      <c r="DY44" s="58"/>
      <c r="DZ44" s="58"/>
      <c r="EA44" s="58"/>
      <c r="EB44" s="58"/>
      <c r="EC44" s="58"/>
      <c r="ED44" s="58"/>
      <c r="EE44" s="58"/>
      <c r="EF44" s="58"/>
      <c r="EG44" s="58"/>
      <c r="EH44" s="58"/>
      <c r="EI44" s="58"/>
      <c r="EJ44" s="58"/>
      <c r="EK44" s="58"/>
      <c r="EL44" s="58"/>
      <c r="EM44" s="58"/>
      <c r="EN44" s="58"/>
    </row>
    <row r="45" spans="16:144" x14ac:dyDescent="0.3">
      <c r="P45" s="4"/>
      <c r="Q45" s="4"/>
      <c r="R45" s="4"/>
      <c r="S45" s="4"/>
      <c r="DX45" s="58"/>
      <c r="DY45" s="58"/>
      <c r="DZ45" s="58"/>
      <c r="EA45" s="58"/>
      <c r="EB45" s="58"/>
      <c r="EC45" s="58"/>
      <c r="ED45" s="58"/>
      <c r="EE45" s="58"/>
      <c r="EF45" s="58"/>
      <c r="EG45" s="58"/>
      <c r="EH45" s="58"/>
      <c r="EI45" s="58"/>
      <c r="EJ45" s="58"/>
      <c r="EK45" s="58"/>
      <c r="EL45" s="58"/>
      <c r="EM45" s="58"/>
      <c r="EN45" s="58"/>
    </row>
    <row r="46" spans="16:144" x14ac:dyDescent="0.3">
      <c r="P46" s="4"/>
      <c r="Q46" s="4"/>
      <c r="R46" s="4"/>
      <c r="S46" s="4"/>
      <c r="DX46" s="58"/>
      <c r="DY46" s="58"/>
      <c r="DZ46" s="58"/>
      <c r="EA46" s="58"/>
      <c r="EB46" s="58"/>
      <c r="EC46" s="58"/>
      <c r="ED46" s="58"/>
      <c r="EE46" s="58"/>
      <c r="EF46" s="58"/>
      <c r="EG46" s="58"/>
      <c r="EH46" s="58"/>
      <c r="EI46" s="58"/>
      <c r="EJ46" s="58"/>
      <c r="EK46" s="58"/>
      <c r="EL46" s="58"/>
      <c r="EM46" s="58"/>
      <c r="EN46" s="58"/>
    </row>
    <row r="47" spans="16:144" x14ac:dyDescent="0.3">
      <c r="P47" s="4"/>
      <c r="Q47" s="4"/>
      <c r="R47" s="4"/>
      <c r="S47" s="4"/>
      <c r="DX47" s="58"/>
      <c r="DY47" s="58"/>
      <c r="DZ47" s="58"/>
      <c r="EA47" s="58"/>
      <c r="EB47" s="58"/>
      <c r="EC47" s="58"/>
      <c r="ED47" s="58"/>
      <c r="EE47" s="58"/>
      <c r="EF47" s="58"/>
      <c r="EG47" s="58"/>
      <c r="EH47" s="58"/>
      <c r="EI47" s="58"/>
      <c r="EJ47" s="58"/>
      <c r="EK47" s="58"/>
      <c r="EL47" s="58"/>
      <c r="EM47" s="58"/>
      <c r="EN47" s="58"/>
    </row>
    <row r="48" spans="16:144" x14ac:dyDescent="0.3">
      <c r="P48" s="4"/>
      <c r="Q48" s="4"/>
      <c r="R48" s="4"/>
      <c r="S48" s="4"/>
      <c r="DX48" s="58"/>
      <c r="DY48" s="58"/>
      <c r="DZ48" s="58"/>
      <c r="EA48" s="58"/>
      <c r="EB48" s="58"/>
      <c r="EC48" s="58"/>
      <c r="ED48" s="58"/>
      <c r="EE48" s="58"/>
      <c r="EF48" s="58"/>
      <c r="EG48" s="58"/>
      <c r="EH48" s="58"/>
      <c r="EI48" s="58"/>
      <c r="EJ48" s="58"/>
      <c r="EK48" s="58"/>
      <c r="EL48" s="58"/>
      <c r="EM48" s="58"/>
      <c r="EN48" s="58"/>
    </row>
    <row r="49" spans="1:144" x14ac:dyDescent="0.3">
      <c r="A49" s="4"/>
      <c r="B49" s="5"/>
      <c r="C49" s="5"/>
      <c r="D49" s="6"/>
      <c r="E49" s="4"/>
      <c r="F49" s="4"/>
      <c r="G49" s="4"/>
      <c r="H49" s="4"/>
      <c r="I49" s="4"/>
      <c r="J49" s="4"/>
      <c r="K49" s="4"/>
      <c r="L49" s="4"/>
      <c r="M49" s="4"/>
      <c r="N49" s="4"/>
      <c r="O49" s="4"/>
      <c r="P49" s="4"/>
      <c r="Q49" s="4"/>
      <c r="R49" s="4"/>
      <c r="S49" s="4"/>
      <c r="DX49" s="58"/>
      <c r="DY49" s="58"/>
      <c r="DZ49" s="58"/>
      <c r="EA49" s="58"/>
      <c r="EB49" s="58"/>
      <c r="EC49" s="58"/>
      <c r="ED49" s="58"/>
      <c r="EE49" s="58"/>
      <c r="EF49" s="58"/>
      <c r="EG49" s="58"/>
      <c r="EH49" s="58"/>
      <c r="EI49" s="58"/>
      <c r="EJ49" s="58"/>
      <c r="EK49" s="58"/>
      <c r="EL49" s="58"/>
      <c r="EM49" s="58"/>
      <c r="EN49" s="58"/>
    </row>
    <row r="50" spans="1:144" x14ac:dyDescent="0.3">
      <c r="A50" s="4"/>
      <c r="B50" s="5"/>
      <c r="C50" s="5"/>
      <c r="D50" s="6"/>
      <c r="E50" s="4"/>
      <c r="F50" s="123"/>
      <c r="G50" s="123"/>
      <c r="H50" s="123"/>
      <c r="I50" s="123"/>
      <c r="J50" s="123"/>
      <c r="K50" s="123"/>
      <c r="L50" s="123"/>
      <c r="M50" s="123"/>
      <c r="N50" s="123"/>
      <c r="O50" s="4"/>
      <c r="P50" s="4"/>
      <c r="Q50" s="4"/>
      <c r="R50" s="4"/>
      <c r="S50" s="4"/>
      <c r="DX50" s="58"/>
      <c r="DY50" s="58"/>
      <c r="DZ50" s="58"/>
      <c r="EA50" s="58"/>
      <c r="EB50" s="58"/>
      <c r="EC50" s="58"/>
      <c r="ED50" s="58"/>
      <c r="EE50" s="58"/>
      <c r="EF50" s="58"/>
      <c r="EG50" s="58"/>
      <c r="EH50" s="58"/>
      <c r="EI50" s="58"/>
      <c r="EJ50" s="58"/>
      <c r="EK50" s="58"/>
      <c r="EL50" s="58"/>
      <c r="EM50" s="58"/>
      <c r="EN50" s="58"/>
    </row>
    <row r="51" spans="1:144" x14ac:dyDescent="0.3">
      <c r="A51" s="4"/>
      <c r="B51" s="5"/>
      <c r="C51" s="5"/>
      <c r="D51" s="6"/>
      <c r="E51" s="4"/>
      <c r="F51" s="123"/>
      <c r="G51" s="123"/>
      <c r="H51" s="123"/>
      <c r="I51" s="123"/>
      <c r="J51" s="123"/>
      <c r="K51" s="123"/>
      <c r="L51" s="123"/>
      <c r="M51" s="123"/>
      <c r="N51" s="123"/>
      <c r="O51" s="4"/>
      <c r="P51" s="4"/>
      <c r="Q51" s="4"/>
      <c r="R51" s="4"/>
      <c r="S51" s="4"/>
      <c r="DX51" s="58"/>
      <c r="DY51" s="58"/>
      <c r="DZ51" s="58"/>
      <c r="EA51" s="58"/>
      <c r="EB51" s="58"/>
      <c r="EC51" s="58"/>
      <c r="ED51" s="58"/>
      <c r="EE51" s="58"/>
      <c r="EF51" s="58"/>
      <c r="EG51" s="58"/>
      <c r="EH51" s="58"/>
      <c r="EI51" s="58"/>
      <c r="EJ51" s="58"/>
      <c r="EK51" s="58"/>
      <c r="EL51" s="58"/>
      <c r="EM51" s="58"/>
      <c r="EN51" s="58"/>
    </row>
    <row r="52" spans="1:144" x14ac:dyDescent="0.3">
      <c r="A52" s="4"/>
      <c r="B52" s="5"/>
      <c r="C52" s="5"/>
      <c r="D52" s="6"/>
      <c r="E52" s="4"/>
      <c r="F52" s="123"/>
      <c r="G52" s="123"/>
      <c r="H52" s="123"/>
      <c r="I52" s="123"/>
      <c r="J52" s="123"/>
      <c r="K52" s="123"/>
      <c r="L52" s="123"/>
      <c r="M52" s="123"/>
      <c r="N52" s="123"/>
      <c r="O52" s="4"/>
      <c r="P52" s="4"/>
      <c r="Q52" s="4"/>
      <c r="R52" s="4"/>
      <c r="S52" s="4"/>
      <c r="DX52" s="58"/>
      <c r="DY52" s="58"/>
      <c r="DZ52" s="58"/>
      <c r="EA52" s="58"/>
      <c r="EB52" s="58"/>
      <c r="EC52" s="58"/>
      <c r="ED52" s="58"/>
      <c r="EE52" s="58"/>
      <c r="EF52" s="58"/>
      <c r="EG52" s="58"/>
      <c r="EH52" s="58"/>
      <c r="EI52" s="58"/>
      <c r="EJ52" s="58"/>
      <c r="EK52" s="58"/>
      <c r="EL52" s="58"/>
      <c r="EM52" s="58"/>
      <c r="EN52" s="58"/>
    </row>
    <row r="53" spans="1:144" x14ac:dyDescent="0.3">
      <c r="A53" s="4"/>
      <c r="B53" s="5"/>
      <c r="C53" s="5"/>
      <c r="D53" s="6"/>
      <c r="E53" s="4"/>
      <c r="F53" s="4"/>
      <c r="G53" s="4"/>
      <c r="H53" s="4"/>
      <c r="I53" s="4"/>
      <c r="J53" s="4"/>
      <c r="K53" s="4"/>
      <c r="L53" s="4"/>
      <c r="M53" s="4"/>
      <c r="N53" s="4"/>
      <c r="O53" s="4"/>
      <c r="P53" s="4"/>
      <c r="Q53" s="4"/>
      <c r="R53" s="4"/>
      <c r="S53" s="4"/>
    </row>
  </sheetData>
  <sheetProtection sheet="1" objects="1" scenarios="1" selectLockedCells="1"/>
  <mergeCells count="52">
    <mergeCell ref="T3:W3"/>
    <mergeCell ref="BD3:BF3"/>
    <mergeCell ref="CN3:CQ3"/>
    <mergeCell ref="DF3:DI3"/>
    <mergeCell ref="DX3:EH3"/>
    <mergeCell ref="EK4:EN4"/>
    <mergeCell ref="F5:N7"/>
    <mergeCell ref="X5:AF7"/>
    <mergeCell ref="AP5:AX7"/>
    <mergeCell ref="BH5:BP7"/>
    <mergeCell ref="BZ5:CH7"/>
    <mergeCell ref="CR5:CZ7"/>
    <mergeCell ref="DJ5:DR7"/>
    <mergeCell ref="DX4:DY4"/>
    <mergeCell ref="DZ4:EH4"/>
    <mergeCell ref="AT9:AW9"/>
    <mergeCell ref="F11:G11"/>
    <mergeCell ref="J11:M11"/>
    <mergeCell ref="X11:Y11"/>
    <mergeCell ref="AB11:AE11"/>
    <mergeCell ref="AP11:AQ11"/>
    <mergeCell ref="AT11:AW11"/>
    <mergeCell ref="DJ11:DK11"/>
    <mergeCell ref="DN11:DQ11"/>
    <mergeCell ref="J13:M13"/>
    <mergeCell ref="AB13:AE13"/>
    <mergeCell ref="AT13:AW13"/>
    <mergeCell ref="BL13:BO13"/>
    <mergeCell ref="CD13:CG13"/>
    <mergeCell ref="CV13:CY13"/>
    <mergeCell ref="DN13:DQ13"/>
    <mergeCell ref="BH11:BI11"/>
    <mergeCell ref="BL11:BO11"/>
    <mergeCell ref="BZ11:CA11"/>
    <mergeCell ref="CD11:CG11"/>
    <mergeCell ref="CR11:CS11"/>
    <mergeCell ref="CV11:CY11"/>
    <mergeCell ref="F23:N25"/>
    <mergeCell ref="F50:N52"/>
    <mergeCell ref="DN15:DQ15"/>
    <mergeCell ref="J17:M17"/>
    <mergeCell ref="AB17:AE17"/>
    <mergeCell ref="AT17:AW17"/>
    <mergeCell ref="BL17:BO17"/>
    <mergeCell ref="CD17:CG17"/>
    <mergeCell ref="CV17:CY17"/>
    <mergeCell ref="J15:M15"/>
    <mergeCell ref="AB15:AE15"/>
    <mergeCell ref="AT15:AW15"/>
    <mergeCell ref="BL15:BO15"/>
    <mergeCell ref="CD15:CG15"/>
    <mergeCell ref="CV15:CY15"/>
  </mergeCells>
  <conditionalFormatting sqref="EM5:EM21">
    <cfRule type="top10" dxfId="27" priority="1" rank="3"/>
  </conditionalFormatting>
  <printOptions verticalCentered="1"/>
  <pageMargins left="0.74803149606299213" right="0.74803149606299213" top="1.1811023622047245" bottom="0.98425196850393704" header="0.51181102362204722" footer="0.51181102362204722"/>
  <pageSetup paperSize="9" scale="10" orientation="portrait" horizontalDpi="4294967294" verticalDpi="0" r:id="rId1"/>
  <headerFooter alignWithMargins="0">
    <oddHeader>&amp;C&amp;24&amp;K03+000
Results Belbintest&amp;R&amp;G</oddHeader>
    <oddFooter>&amp;R&amp;K03+000Printing date &amp;D</oddFooter>
  </headerFooter>
  <colBreaks count="13" manualBreakCount="13">
    <brk id="5" max="1048575" man="1"/>
    <brk id="18" max="1048575" man="1"/>
    <brk id="23" max="1048575" man="1"/>
    <brk id="41" max="1048575" man="1"/>
    <brk id="54" max="1048575" man="1"/>
    <brk id="59" max="1048575" man="1"/>
    <brk id="77" max="1048575" man="1"/>
    <brk id="90" max="1048575" man="1"/>
    <brk id="95" max="1048575" man="1"/>
    <brk id="108" max="1048575" man="1"/>
    <brk id="113" max="1048575" man="1"/>
    <brk id="126" max="1048575" man="1"/>
    <brk id="144" max="1048575" man="1"/>
  </colBreaks>
  <drawing r:id="rId2"/>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24">
    <pageSetUpPr fitToPage="1"/>
  </sheetPr>
  <dimension ref="A1:GL53"/>
  <sheetViews>
    <sheetView topLeftCell="CH1" zoomScale="85" zoomScaleNormal="85" workbookViewId="0">
      <selection activeCell="DH21" sqref="DH21"/>
    </sheetView>
  </sheetViews>
  <sheetFormatPr defaultColWidth="9.109375" defaultRowHeight="17.399999999999999" x14ac:dyDescent="0.25"/>
  <cols>
    <col min="1" max="1" width="8.6640625" style="3" customWidth="1"/>
    <col min="2" max="2" width="59.33203125" style="1" bestFit="1" customWidth="1"/>
    <col min="3" max="3" width="2.33203125" style="1" customWidth="1"/>
    <col min="4" max="4" width="9.109375" style="2"/>
    <col min="5" max="18" width="9.109375" style="3"/>
    <col min="19" max="19" width="8.6640625" style="3" customWidth="1"/>
    <col min="20" max="20" width="59.33203125" style="3" customWidth="1"/>
    <col min="21" max="21" width="2.33203125" style="3" customWidth="1"/>
    <col min="22" max="35" width="9.109375" style="3"/>
    <col min="36" max="36" width="9.109375" style="3" customWidth="1"/>
    <col min="37" max="37" width="8.6640625" style="3" customWidth="1"/>
    <col min="38" max="38" width="59.33203125" style="3" customWidth="1"/>
    <col min="39" max="39" width="2.33203125" style="3" customWidth="1"/>
    <col min="40" max="53" width="9.109375" style="3"/>
    <col min="54" max="54" width="9.109375" style="3" customWidth="1"/>
    <col min="55" max="55" width="8.6640625" style="3" customWidth="1"/>
    <col min="56" max="56" width="59.33203125" style="3" customWidth="1"/>
    <col min="57" max="57" width="2.33203125" style="3" customWidth="1"/>
    <col min="58" max="71" width="9.109375" style="3"/>
    <col min="72" max="72" width="9.109375" style="3" customWidth="1"/>
    <col min="73" max="73" width="8.6640625" style="3" customWidth="1"/>
    <col min="74" max="74" width="59.33203125" style="3" customWidth="1"/>
    <col min="75" max="75" width="2.33203125" style="3" customWidth="1"/>
    <col min="76" max="89" width="9.109375" style="3"/>
    <col min="90" max="90" width="9.109375" style="3" customWidth="1"/>
    <col min="91" max="91" width="8.6640625" style="3" customWidth="1"/>
    <col min="92" max="92" width="59.33203125" style="3" customWidth="1"/>
    <col min="93" max="93" width="2.33203125" style="3" customWidth="1"/>
    <col min="94" max="107" width="9.109375" style="3"/>
    <col min="108" max="108" width="9.109375" style="3" customWidth="1"/>
    <col min="109" max="109" width="8.6640625" style="3" customWidth="1"/>
    <col min="110" max="110" width="59.33203125" style="3" customWidth="1"/>
    <col min="111" max="111" width="2.33203125" style="3" customWidth="1"/>
    <col min="112" max="127" width="9.109375" style="3"/>
    <col min="128" max="128" width="9.109375" style="3" customWidth="1"/>
    <col min="129" max="129" width="3.33203125" style="3" customWidth="1"/>
    <col min="130" max="138" width="4.77734375" style="3" customWidth="1"/>
    <col min="139" max="141" width="9.109375" style="3"/>
    <col min="142" max="142" width="14.6640625" style="3" customWidth="1"/>
    <col min="143" max="143" width="9.109375" style="3"/>
    <col min="144" max="144" width="6.6640625" style="3" customWidth="1"/>
    <col min="145" max="150" width="9.109375" style="3"/>
    <col min="151" max="151" width="2.33203125" style="3" customWidth="1"/>
    <col min="152" max="152" width="2.88671875" style="3" customWidth="1"/>
    <col min="153" max="257" width="9.109375" style="3"/>
    <col min="258" max="258" width="3" style="3" customWidth="1"/>
    <col min="259" max="259" width="59.33203125" style="3" bestFit="1" customWidth="1"/>
    <col min="260" max="260" width="2.33203125" style="3" customWidth="1"/>
    <col min="261" max="513" width="9.109375" style="3"/>
    <col min="514" max="514" width="3" style="3" customWidth="1"/>
    <col min="515" max="515" width="59.33203125" style="3" bestFit="1" customWidth="1"/>
    <col min="516" max="516" width="2.33203125" style="3" customWidth="1"/>
    <col min="517" max="769" width="9.109375" style="3"/>
    <col min="770" max="770" width="3" style="3" customWidth="1"/>
    <col min="771" max="771" width="59.33203125" style="3" bestFit="1" customWidth="1"/>
    <col min="772" max="772" width="2.33203125" style="3" customWidth="1"/>
    <col min="773" max="1025" width="9.109375" style="3"/>
    <col min="1026" max="1026" width="3" style="3" customWidth="1"/>
    <col min="1027" max="1027" width="59.33203125" style="3" bestFit="1" customWidth="1"/>
    <col min="1028" max="1028" width="2.33203125" style="3" customWidth="1"/>
    <col min="1029" max="1281" width="9.109375" style="3"/>
    <col min="1282" max="1282" width="3" style="3" customWidth="1"/>
    <col min="1283" max="1283" width="59.33203125" style="3" bestFit="1" customWidth="1"/>
    <col min="1284" max="1284" width="2.33203125" style="3" customWidth="1"/>
    <col min="1285" max="1537" width="9.109375" style="3"/>
    <col min="1538" max="1538" width="3" style="3" customWidth="1"/>
    <col min="1539" max="1539" width="59.33203125" style="3" bestFit="1" customWidth="1"/>
    <col min="1540" max="1540" width="2.33203125" style="3" customWidth="1"/>
    <col min="1541" max="1793" width="9.109375" style="3"/>
    <col min="1794" max="1794" width="3" style="3" customWidth="1"/>
    <col min="1795" max="1795" width="59.33203125" style="3" bestFit="1" customWidth="1"/>
    <col min="1796" max="1796" width="2.33203125" style="3" customWidth="1"/>
    <col min="1797" max="2049" width="9.109375" style="3"/>
    <col min="2050" max="2050" width="3" style="3" customWidth="1"/>
    <col min="2051" max="2051" width="59.33203125" style="3" bestFit="1" customWidth="1"/>
    <col min="2052" max="2052" width="2.33203125" style="3" customWidth="1"/>
    <col min="2053" max="2305" width="9.109375" style="3"/>
    <col min="2306" max="2306" width="3" style="3" customWidth="1"/>
    <col min="2307" max="2307" width="59.33203125" style="3" bestFit="1" customWidth="1"/>
    <col min="2308" max="2308" width="2.33203125" style="3" customWidth="1"/>
    <col min="2309" max="2561" width="9.109375" style="3"/>
    <col min="2562" max="2562" width="3" style="3" customWidth="1"/>
    <col min="2563" max="2563" width="59.33203125" style="3" bestFit="1" customWidth="1"/>
    <col min="2564" max="2564" width="2.33203125" style="3" customWidth="1"/>
    <col min="2565" max="2817" width="9.109375" style="3"/>
    <col min="2818" max="2818" width="3" style="3" customWidth="1"/>
    <col min="2819" max="2819" width="59.33203125" style="3" bestFit="1" customWidth="1"/>
    <col min="2820" max="2820" width="2.33203125" style="3" customWidth="1"/>
    <col min="2821" max="3073" width="9.109375" style="3"/>
    <col min="3074" max="3074" width="3" style="3" customWidth="1"/>
    <col min="3075" max="3075" width="59.33203125" style="3" bestFit="1" customWidth="1"/>
    <col min="3076" max="3076" width="2.33203125" style="3" customWidth="1"/>
    <col min="3077" max="3329" width="9.109375" style="3"/>
    <col min="3330" max="3330" width="3" style="3" customWidth="1"/>
    <col min="3331" max="3331" width="59.33203125" style="3" bestFit="1" customWidth="1"/>
    <col min="3332" max="3332" width="2.33203125" style="3" customWidth="1"/>
    <col min="3333" max="3585" width="9.109375" style="3"/>
    <col min="3586" max="3586" width="3" style="3" customWidth="1"/>
    <col min="3587" max="3587" width="59.33203125" style="3" bestFit="1" customWidth="1"/>
    <col min="3588" max="3588" width="2.33203125" style="3" customWidth="1"/>
    <col min="3589" max="3841" width="9.109375" style="3"/>
    <col min="3842" max="3842" width="3" style="3" customWidth="1"/>
    <col min="3843" max="3843" width="59.33203125" style="3" bestFit="1" customWidth="1"/>
    <col min="3844" max="3844" width="2.33203125" style="3" customWidth="1"/>
    <col min="3845" max="4097" width="9.109375" style="3"/>
    <col min="4098" max="4098" width="3" style="3" customWidth="1"/>
    <col min="4099" max="4099" width="59.33203125" style="3" bestFit="1" customWidth="1"/>
    <col min="4100" max="4100" width="2.33203125" style="3" customWidth="1"/>
    <col min="4101" max="4353" width="9.109375" style="3"/>
    <col min="4354" max="4354" width="3" style="3" customWidth="1"/>
    <col min="4355" max="4355" width="59.33203125" style="3" bestFit="1" customWidth="1"/>
    <col min="4356" max="4356" width="2.33203125" style="3" customWidth="1"/>
    <col min="4357" max="4609" width="9.109375" style="3"/>
    <col min="4610" max="4610" width="3" style="3" customWidth="1"/>
    <col min="4611" max="4611" width="59.33203125" style="3" bestFit="1" customWidth="1"/>
    <col min="4612" max="4612" width="2.33203125" style="3" customWidth="1"/>
    <col min="4613" max="4865" width="9.109375" style="3"/>
    <col min="4866" max="4866" width="3" style="3" customWidth="1"/>
    <col min="4867" max="4867" width="59.33203125" style="3" bestFit="1" customWidth="1"/>
    <col min="4868" max="4868" width="2.33203125" style="3" customWidth="1"/>
    <col min="4869" max="5121" width="9.109375" style="3"/>
    <col min="5122" max="5122" width="3" style="3" customWidth="1"/>
    <col min="5123" max="5123" width="59.33203125" style="3" bestFit="1" customWidth="1"/>
    <col min="5124" max="5124" width="2.33203125" style="3" customWidth="1"/>
    <col min="5125" max="5377" width="9.109375" style="3"/>
    <col min="5378" max="5378" width="3" style="3" customWidth="1"/>
    <col min="5379" max="5379" width="59.33203125" style="3" bestFit="1" customWidth="1"/>
    <col min="5380" max="5380" width="2.33203125" style="3" customWidth="1"/>
    <col min="5381" max="5633" width="9.109375" style="3"/>
    <col min="5634" max="5634" width="3" style="3" customWidth="1"/>
    <col min="5635" max="5635" width="59.33203125" style="3" bestFit="1" customWidth="1"/>
    <col min="5636" max="5636" width="2.33203125" style="3" customWidth="1"/>
    <col min="5637" max="5889" width="9.109375" style="3"/>
    <col min="5890" max="5890" width="3" style="3" customWidth="1"/>
    <col min="5891" max="5891" width="59.33203125" style="3" bestFit="1" customWidth="1"/>
    <col min="5892" max="5892" width="2.33203125" style="3" customWidth="1"/>
    <col min="5893" max="6145" width="9.109375" style="3"/>
    <col min="6146" max="6146" width="3" style="3" customWidth="1"/>
    <col min="6147" max="6147" width="59.33203125" style="3" bestFit="1" customWidth="1"/>
    <col min="6148" max="6148" width="2.33203125" style="3" customWidth="1"/>
    <col min="6149" max="6401" width="9.109375" style="3"/>
    <col min="6402" max="6402" width="3" style="3" customWidth="1"/>
    <col min="6403" max="6403" width="59.33203125" style="3" bestFit="1" customWidth="1"/>
    <col min="6404" max="6404" width="2.33203125" style="3" customWidth="1"/>
    <col min="6405" max="6657" width="9.109375" style="3"/>
    <col min="6658" max="6658" width="3" style="3" customWidth="1"/>
    <col min="6659" max="6659" width="59.33203125" style="3" bestFit="1" customWidth="1"/>
    <col min="6660" max="6660" width="2.33203125" style="3" customWidth="1"/>
    <col min="6661" max="6913" width="9.109375" style="3"/>
    <col min="6914" max="6914" width="3" style="3" customWidth="1"/>
    <col min="6915" max="6915" width="59.33203125" style="3" bestFit="1" customWidth="1"/>
    <col min="6916" max="6916" width="2.33203125" style="3" customWidth="1"/>
    <col min="6917" max="7169" width="9.109375" style="3"/>
    <col min="7170" max="7170" width="3" style="3" customWidth="1"/>
    <col min="7171" max="7171" width="59.33203125" style="3" bestFit="1" customWidth="1"/>
    <col min="7172" max="7172" width="2.33203125" style="3" customWidth="1"/>
    <col min="7173" max="7425" width="9.109375" style="3"/>
    <col min="7426" max="7426" width="3" style="3" customWidth="1"/>
    <col min="7427" max="7427" width="59.33203125" style="3" bestFit="1" customWidth="1"/>
    <col min="7428" max="7428" width="2.33203125" style="3" customWidth="1"/>
    <col min="7429" max="7681" width="9.109375" style="3"/>
    <col min="7682" max="7682" width="3" style="3" customWidth="1"/>
    <col min="7683" max="7683" width="59.33203125" style="3" bestFit="1" customWidth="1"/>
    <col min="7684" max="7684" width="2.33203125" style="3" customWidth="1"/>
    <col min="7685" max="7937" width="9.109375" style="3"/>
    <col min="7938" max="7938" width="3" style="3" customWidth="1"/>
    <col min="7939" max="7939" width="59.33203125" style="3" bestFit="1" customWidth="1"/>
    <col min="7940" max="7940" width="2.33203125" style="3" customWidth="1"/>
    <col min="7941" max="8193" width="9.109375" style="3"/>
    <col min="8194" max="8194" width="3" style="3" customWidth="1"/>
    <col min="8195" max="8195" width="59.33203125" style="3" bestFit="1" customWidth="1"/>
    <col min="8196" max="8196" width="2.33203125" style="3" customWidth="1"/>
    <col min="8197" max="8449" width="9.109375" style="3"/>
    <col min="8450" max="8450" width="3" style="3" customWidth="1"/>
    <col min="8451" max="8451" width="59.33203125" style="3" bestFit="1" customWidth="1"/>
    <col min="8452" max="8452" width="2.33203125" style="3" customWidth="1"/>
    <col min="8453" max="8705" width="9.109375" style="3"/>
    <col min="8706" max="8706" width="3" style="3" customWidth="1"/>
    <col min="8707" max="8707" width="59.33203125" style="3" bestFit="1" customWidth="1"/>
    <col min="8708" max="8708" width="2.33203125" style="3" customWidth="1"/>
    <col min="8709" max="8961" width="9.109375" style="3"/>
    <col min="8962" max="8962" width="3" style="3" customWidth="1"/>
    <col min="8963" max="8963" width="59.33203125" style="3" bestFit="1" customWidth="1"/>
    <col min="8964" max="8964" width="2.33203125" style="3" customWidth="1"/>
    <col min="8965" max="9217" width="9.109375" style="3"/>
    <col min="9218" max="9218" width="3" style="3" customWidth="1"/>
    <col min="9219" max="9219" width="59.33203125" style="3" bestFit="1" customWidth="1"/>
    <col min="9220" max="9220" width="2.33203125" style="3" customWidth="1"/>
    <col min="9221" max="9473" width="9.109375" style="3"/>
    <col min="9474" max="9474" width="3" style="3" customWidth="1"/>
    <col min="9475" max="9475" width="59.33203125" style="3" bestFit="1" customWidth="1"/>
    <col min="9476" max="9476" width="2.33203125" style="3" customWidth="1"/>
    <col min="9477" max="9729" width="9.109375" style="3"/>
    <col min="9730" max="9730" width="3" style="3" customWidth="1"/>
    <col min="9731" max="9731" width="59.33203125" style="3" bestFit="1" customWidth="1"/>
    <col min="9732" max="9732" width="2.33203125" style="3" customWidth="1"/>
    <col min="9733" max="9985" width="9.109375" style="3"/>
    <col min="9986" max="9986" width="3" style="3" customWidth="1"/>
    <col min="9987" max="9987" width="59.33203125" style="3" bestFit="1" customWidth="1"/>
    <col min="9988" max="9988" width="2.33203125" style="3" customWidth="1"/>
    <col min="9989" max="10241" width="9.109375" style="3"/>
    <col min="10242" max="10242" width="3" style="3" customWidth="1"/>
    <col min="10243" max="10243" width="59.33203125" style="3" bestFit="1" customWidth="1"/>
    <col min="10244" max="10244" width="2.33203125" style="3" customWidth="1"/>
    <col min="10245" max="10497" width="9.109375" style="3"/>
    <col min="10498" max="10498" width="3" style="3" customWidth="1"/>
    <col min="10499" max="10499" width="59.33203125" style="3" bestFit="1" customWidth="1"/>
    <col min="10500" max="10500" width="2.33203125" style="3" customWidth="1"/>
    <col min="10501" max="10753" width="9.109375" style="3"/>
    <col min="10754" max="10754" width="3" style="3" customWidth="1"/>
    <col min="10755" max="10755" width="59.33203125" style="3" bestFit="1" customWidth="1"/>
    <col min="10756" max="10756" width="2.33203125" style="3" customWidth="1"/>
    <col min="10757" max="11009" width="9.109375" style="3"/>
    <col min="11010" max="11010" width="3" style="3" customWidth="1"/>
    <col min="11011" max="11011" width="59.33203125" style="3" bestFit="1" customWidth="1"/>
    <col min="11012" max="11012" width="2.33203125" style="3" customWidth="1"/>
    <col min="11013" max="11265" width="9.109375" style="3"/>
    <col min="11266" max="11266" width="3" style="3" customWidth="1"/>
    <col min="11267" max="11267" width="59.33203125" style="3" bestFit="1" customWidth="1"/>
    <col min="11268" max="11268" width="2.33203125" style="3" customWidth="1"/>
    <col min="11269" max="11521" width="9.109375" style="3"/>
    <col min="11522" max="11522" width="3" style="3" customWidth="1"/>
    <col min="11523" max="11523" width="59.33203125" style="3" bestFit="1" customWidth="1"/>
    <col min="11524" max="11524" width="2.33203125" style="3" customWidth="1"/>
    <col min="11525" max="11777" width="9.109375" style="3"/>
    <col min="11778" max="11778" width="3" style="3" customWidth="1"/>
    <col min="11779" max="11779" width="59.33203125" style="3" bestFit="1" customWidth="1"/>
    <col min="11780" max="11780" width="2.33203125" style="3" customWidth="1"/>
    <col min="11781" max="12033" width="9.109375" style="3"/>
    <col min="12034" max="12034" width="3" style="3" customWidth="1"/>
    <col min="12035" max="12035" width="59.33203125" style="3" bestFit="1" customWidth="1"/>
    <col min="12036" max="12036" width="2.33203125" style="3" customWidth="1"/>
    <col min="12037" max="12289" width="9.109375" style="3"/>
    <col min="12290" max="12290" width="3" style="3" customWidth="1"/>
    <col min="12291" max="12291" width="59.33203125" style="3" bestFit="1" customWidth="1"/>
    <col min="12292" max="12292" width="2.33203125" style="3" customWidth="1"/>
    <col min="12293" max="12545" width="9.109375" style="3"/>
    <col min="12546" max="12546" width="3" style="3" customWidth="1"/>
    <col min="12547" max="12547" width="59.33203125" style="3" bestFit="1" customWidth="1"/>
    <col min="12548" max="12548" width="2.33203125" style="3" customWidth="1"/>
    <col min="12549" max="12801" width="9.109375" style="3"/>
    <col min="12802" max="12802" width="3" style="3" customWidth="1"/>
    <col min="12803" max="12803" width="59.33203125" style="3" bestFit="1" customWidth="1"/>
    <col min="12804" max="12804" width="2.33203125" style="3" customWidth="1"/>
    <col min="12805" max="13057" width="9.109375" style="3"/>
    <col min="13058" max="13058" width="3" style="3" customWidth="1"/>
    <col min="13059" max="13059" width="59.33203125" style="3" bestFit="1" customWidth="1"/>
    <col min="13060" max="13060" width="2.33203125" style="3" customWidth="1"/>
    <col min="13061" max="13313" width="9.109375" style="3"/>
    <col min="13314" max="13314" width="3" style="3" customWidth="1"/>
    <col min="13315" max="13315" width="59.33203125" style="3" bestFit="1" customWidth="1"/>
    <col min="13316" max="13316" width="2.33203125" style="3" customWidth="1"/>
    <col min="13317" max="13569" width="9.109375" style="3"/>
    <col min="13570" max="13570" width="3" style="3" customWidth="1"/>
    <col min="13571" max="13571" width="59.33203125" style="3" bestFit="1" customWidth="1"/>
    <col min="13572" max="13572" width="2.33203125" style="3" customWidth="1"/>
    <col min="13573" max="13825" width="9.109375" style="3"/>
    <col min="13826" max="13826" width="3" style="3" customWidth="1"/>
    <col min="13827" max="13827" width="59.33203125" style="3" bestFit="1" customWidth="1"/>
    <col min="13828" max="13828" width="2.33203125" style="3" customWidth="1"/>
    <col min="13829" max="14081" width="9.109375" style="3"/>
    <col min="14082" max="14082" width="3" style="3" customWidth="1"/>
    <col min="14083" max="14083" width="59.33203125" style="3" bestFit="1" customWidth="1"/>
    <col min="14084" max="14084" width="2.33203125" style="3" customWidth="1"/>
    <col min="14085" max="14337" width="9.109375" style="3"/>
    <col min="14338" max="14338" width="3" style="3" customWidth="1"/>
    <col min="14339" max="14339" width="59.33203125" style="3" bestFit="1" customWidth="1"/>
    <col min="14340" max="14340" width="2.33203125" style="3" customWidth="1"/>
    <col min="14341" max="14593" width="9.109375" style="3"/>
    <col min="14594" max="14594" width="3" style="3" customWidth="1"/>
    <col min="14595" max="14595" width="59.33203125" style="3" bestFit="1" customWidth="1"/>
    <col min="14596" max="14596" width="2.33203125" style="3" customWidth="1"/>
    <col min="14597" max="14849" width="9.109375" style="3"/>
    <col min="14850" max="14850" width="3" style="3" customWidth="1"/>
    <col min="14851" max="14851" width="59.33203125" style="3" bestFit="1" customWidth="1"/>
    <col min="14852" max="14852" width="2.33203125" style="3" customWidth="1"/>
    <col min="14853" max="15105" width="9.109375" style="3"/>
    <col min="15106" max="15106" width="3" style="3" customWidth="1"/>
    <col min="15107" max="15107" width="59.33203125" style="3" bestFit="1" customWidth="1"/>
    <col min="15108" max="15108" width="2.33203125" style="3" customWidth="1"/>
    <col min="15109" max="15361" width="9.109375" style="3"/>
    <col min="15362" max="15362" width="3" style="3" customWidth="1"/>
    <col min="15363" max="15363" width="59.33203125" style="3" bestFit="1" customWidth="1"/>
    <col min="15364" max="15364" width="2.33203125" style="3" customWidth="1"/>
    <col min="15365" max="15617" width="9.109375" style="3"/>
    <col min="15618" max="15618" width="3" style="3" customWidth="1"/>
    <col min="15619" max="15619" width="59.33203125" style="3" bestFit="1" customWidth="1"/>
    <col min="15620" max="15620" width="2.33203125" style="3" customWidth="1"/>
    <col min="15621" max="15873" width="9.109375" style="3"/>
    <col min="15874" max="15874" width="3" style="3" customWidth="1"/>
    <col min="15875" max="15875" width="59.33203125" style="3" bestFit="1" customWidth="1"/>
    <col min="15876" max="15876" width="2.33203125" style="3" customWidth="1"/>
    <col min="15877" max="16129" width="9.109375" style="3"/>
    <col min="16130" max="16130" width="3" style="3" customWidth="1"/>
    <col min="16131" max="16131" width="59.33203125" style="3" bestFit="1" customWidth="1"/>
    <col min="16132" max="16132" width="2.33203125" style="3" customWidth="1"/>
    <col min="16133" max="16384" width="9.109375" style="3"/>
  </cols>
  <sheetData>
    <row r="1" spans="1:194" x14ac:dyDescent="0.3">
      <c r="T1" s="1"/>
      <c r="U1" s="1"/>
      <c r="V1" s="2"/>
      <c r="AJ1" s="4"/>
      <c r="AK1" s="4"/>
      <c r="AL1" s="5"/>
      <c r="AM1" s="5"/>
      <c r="AN1" s="6"/>
      <c r="AO1" s="4"/>
      <c r="AP1" s="4"/>
      <c r="AQ1" s="4"/>
      <c r="AR1" s="4"/>
      <c r="AS1" s="4"/>
      <c r="AT1" s="4"/>
      <c r="AU1" s="4"/>
      <c r="AV1" s="4"/>
      <c r="AW1" s="4"/>
      <c r="AX1" s="4"/>
      <c r="AY1" s="4"/>
      <c r="BB1" s="4"/>
      <c r="BC1" s="4"/>
      <c r="BD1" s="5"/>
      <c r="BE1" s="5"/>
      <c r="BF1" s="6"/>
      <c r="BG1" s="4"/>
      <c r="BH1" s="4"/>
      <c r="BI1" s="4"/>
      <c r="BJ1" s="4"/>
      <c r="BK1" s="4"/>
      <c r="BL1" s="4"/>
      <c r="BM1" s="4"/>
      <c r="BN1" s="4"/>
      <c r="BO1" s="4"/>
      <c r="BP1" s="4"/>
      <c r="BQ1" s="4"/>
      <c r="BT1" s="4"/>
      <c r="BU1" s="4"/>
      <c r="BV1" s="5"/>
      <c r="BW1" s="5"/>
      <c r="BX1" s="6"/>
      <c r="BY1" s="4"/>
      <c r="BZ1" s="4"/>
      <c r="CA1" s="4"/>
      <c r="CB1" s="4"/>
      <c r="CC1" s="4"/>
      <c r="CD1" s="4"/>
      <c r="CE1" s="4"/>
      <c r="CF1" s="4"/>
      <c r="CG1" s="4"/>
      <c r="CH1" s="4"/>
      <c r="CI1" s="4"/>
      <c r="CL1" s="4"/>
      <c r="CM1" s="4"/>
      <c r="CN1" s="5"/>
      <c r="CO1" s="5"/>
      <c r="CP1" s="6"/>
      <c r="CQ1" s="4"/>
      <c r="CR1" s="4"/>
      <c r="CS1" s="4"/>
      <c r="CT1" s="4"/>
      <c r="CU1" s="4"/>
      <c r="CV1" s="4"/>
      <c r="CW1" s="4"/>
      <c r="CX1" s="4"/>
      <c r="CY1" s="4"/>
      <c r="CZ1" s="4"/>
      <c r="DA1" s="4"/>
      <c r="DD1" s="4"/>
      <c r="DE1" s="4"/>
      <c r="DF1" s="5"/>
      <c r="DG1" s="5"/>
      <c r="DH1" s="6"/>
      <c r="DI1" s="4"/>
      <c r="DJ1" s="4"/>
      <c r="DK1" s="4"/>
      <c r="DL1" s="4"/>
      <c r="DM1" s="4"/>
      <c r="DN1" s="4"/>
      <c r="DO1" s="4"/>
      <c r="DP1" s="4"/>
      <c r="DQ1" s="4"/>
      <c r="DR1" s="4"/>
      <c r="DS1" s="4"/>
      <c r="DW1" s="24"/>
      <c r="DX1" s="57"/>
      <c r="DY1" s="57"/>
      <c r="DZ1" s="57"/>
      <c r="EA1" s="57"/>
      <c r="EB1" s="57"/>
      <c r="EC1" s="57"/>
      <c r="ED1" s="57"/>
      <c r="EE1" s="57"/>
      <c r="EF1" s="57"/>
      <c r="EG1" s="57"/>
      <c r="EH1" s="57"/>
      <c r="EI1" s="57"/>
      <c r="EJ1" s="58"/>
      <c r="EK1" s="58"/>
      <c r="EL1" s="58"/>
      <c r="EM1" s="58"/>
      <c r="EN1" s="58"/>
    </row>
    <row r="2" spans="1:194" ht="17.399999999999999" customHeight="1" x14ac:dyDescent="0.3">
      <c r="S2" s="4"/>
      <c r="T2" s="5"/>
      <c r="U2" s="5"/>
      <c r="V2" s="6"/>
      <c r="W2" s="4"/>
      <c r="X2" s="4"/>
      <c r="Y2" s="4"/>
      <c r="Z2" s="4"/>
      <c r="AA2" s="4"/>
      <c r="AB2" s="4"/>
      <c r="AC2" s="4"/>
      <c r="AD2" s="4"/>
      <c r="AE2" s="4"/>
      <c r="AF2" s="4"/>
      <c r="AG2" s="4"/>
      <c r="AJ2" s="4"/>
      <c r="AK2" s="4"/>
      <c r="AL2" s="5"/>
      <c r="AM2" s="5"/>
      <c r="AN2" s="6"/>
      <c r="AO2" s="4"/>
      <c r="AP2" s="4"/>
      <c r="AQ2" s="4"/>
      <c r="AR2" s="4"/>
      <c r="AS2" s="4"/>
      <c r="AT2" s="4"/>
      <c r="AU2" s="4"/>
      <c r="AV2" s="4"/>
      <c r="AW2" s="4"/>
      <c r="AX2" s="4"/>
      <c r="AY2" s="4"/>
      <c r="BB2" s="4"/>
      <c r="BC2" s="4"/>
      <c r="BD2" s="5"/>
      <c r="BE2" s="5"/>
      <c r="BF2" s="6"/>
      <c r="BG2" s="4"/>
      <c r="BH2" s="4"/>
      <c r="BI2" s="4"/>
      <c r="BJ2" s="4"/>
      <c r="BK2" s="4"/>
      <c r="BL2" s="4"/>
      <c r="BM2" s="4"/>
      <c r="BN2" s="4"/>
      <c r="BO2" s="4"/>
      <c r="BP2" s="4"/>
      <c r="BQ2" s="4"/>
      <c r="BT2" s="4"/>
      <c r="BU2" s="4"/>
      <c r="BV2" s="5"/>
      <c r="BW2" s="5"/>
      <c r="BX2" s="6"/>
      <c r="BY2" s="4"/>
      <c r="BZ2" s="4"/>
      <c r="CA2" s="4"/>
      <c r="CB2" s="4"/>
      <c r="CC2" s="4"/>
      <c r="CD2" s="4"/>
      <c r="CE2" s="4"/>
      <c r="CF2" s="4"/>
      <c r="CG2" s="4"/>
      <c r="CH2" s="4"/>
      <c r="CI2" s="4"/>
      <c r="CL2" s="4"/>
      <c r="CM2" s="4"/>
      <c r="CN2" s="5"/>
      <c r="CO2" s="5"/>
      <c r="CP2" s="6"/>
      <c r="CQ2" s="4"/>
      <c r="CR2" s="4"/>
      <c r="CS2" s="4"/>
      <c r="CT2" s="4"/>
      <c r="CU2" s="4"/>
      <c r="CV2" s="4"/>
      <c r="CW2" s="4"/>
      <c r="CX2" s="4"/>
      <c r="CY2" s="4"/>
      <c r="CZ2" s="4"/>
      <c r="DA2" s="4"/>
      <c r="DD2" s="4"/>
      <c r="DE2" s="4"/>
      <c r="DF2" s="5"/>
      <c r="DG2" s="5"/>
      <c r="DH2" s="6"/>
      <c r="DI2" s="4"/>
      <c r="DJ2" s="4"/>
      <c r="DK2" s="4"/>
      <c r="DL2" s="4"/>
      <c r="DM2" s="4"/>
      <c r="DN2" s="4"/>
      <c r="DO2" s="4"/>
      <c r="DP2" s="4"/>
      <c r="DQ2" s="4"/>
      <c r="DR2" s="4"/>
      <c r="DS2" s="4"/>
      <c r="DW2" s="27"/>
      <c r="DX2" s="59"/>
      <c r="DY2" s="59"/>
      <c r="DZ2" s="59"/>
      <c r="EA2" s="59"/>
      <c r="EB2" s="59"/>
      <c r="EC2" s="59"/>
      <c r="ED2" s="59"/>
      <c r="EE2" s="59"/>
      <c r="EF2" s="59"/>
      <c r="EG2" s="59"/>
      <c r="EH2" s="59"/>
      <c r="EI2" s="59"/>
      <c r="EJ2" s="58"/>
      <c r="EK2" s="58"/>
      <c r="EL2" s="58"/>
      <c r="EM2" s="58"/>
      <c r="EN2" s="58"/>
    </row>
    <row r="3" spans="1:194" s="9" customFormat="1" ht="34.950000000000003" customHeight="1" x14ac:dyDescent="0.3">
      <c r="A3" s="53" t="s">
        <v>154</v>
      </c>
      <c r="B3" s="7" t="s">
        <v>0</v>
      </c>
      <c r="C3" s="8"/>
      <c r="D3" s="2"/>
      <c r="S3" s="53" t="s">
        <v>155</v>
      </c>
      <c r="T3" s="140" t="s">
        <v>12</v>
      </c>
      <c r="U3" s="140"/>
      <c r="V3" s="140"/>
      <c r="W3" s="140"/>
      <c r="X3" s="10"/>
      <c r="Y3" s="10"/>
      <c r="Z3" s="10"/>
      <c r="AA3" s="10"/>
      <c r="AB3" s="10"/>
      <c r="AC3" s="10"/>
      <c r="AD3" s="10"/>
      <c r="AE3" s="10"/>
      <c r="AF3" s="10"/>
      <c r="AG3" s="10"/>
      <c r="AJ3" s="10"/>
      <c r="AK3" s="53" t="s">
        <v>156</v>
      </c>
      <c r="AL3" s="11" t="s">
        <v>22</v>
      </c>
      <c r="AM3" s="12"/>
      <c r="AN3" s="6"/>
      <c r="AO3" s="10"/>
      <c r="AP3" s="10"/>
      <c r="AQ3" s="10"/>
      <c r="AR3" s="10"/>
      <c r="AS3" s="10"/>
      <c r="AT3" s="10"/>
      <c r="AU3" s="10"/>
      <c r="AV3" s="10"/>
      <c r="AW3" s="10"/>
      <c r="AX3" s="10"/>
      <c r="AY3" s="10"/>
      <c r="BB3" s="10"/>
      <c r="BC3" s="53" t="s">
        <v>157</v>
      </c>
      <c r="BD3" s="141" t="s">
        <v>32</v>
      </c>
      <c r="BE3" s="141"/>
      <c r="BF3" s="141"/>
      <c r="BG3" s="10"/>
      <c r="BH3" s="10"/>
      <c r="BI3" s="10"/>
      <c r="BJ3" s="10"/>
      <c r="BK3" s="10"/>
      <c r="BL3" s="10"/>
      <c r="BM3" s="10"/>
      <c r="BN3" s="10"/>
      <c r="BO3" s="10"/>
      <c r="BP3" s="10"/>
      <c r="BQ3" s="10"/>
      <c r="BT3" s="13"/>
      <c r="BU3" s="53" t="s">
        <v>158</v>
      </c>
      <c r="BV3" s="11" t="s">
        <v>42</v>
      </c>
      <c r="BW3" s="14"/>
      <c r="BX3" s="6"/>
      <c r="BY3" s="13"/>
      <c r="BZ3" s="13"/>
      <c r="CA3" s="13"/>
      <c r="CB3" s="13"/>
      <c r="CC3" s="13"/>
      <c r="CD3" s="13"/>
      <c r="CE3" s="13"/>
      <c r="CF3" s="13"/>
      <c r="CG3" s="13"/>
      <c r="CH3" s="13"/>
      <c r="CI3" s="13"/>
      <c r="CL3" s="13"/>
      <c r="CM3" s="53" t="s">
        <v>159</v>
      </c>
      <c r="CN3" s="141" t="s">
        <v>52</v>
      </c>
      <c r="CO3" s="141"/>
      <c r="CP3" s="141"/>
      <c r="CQ3" s="141"/>
      <c r="CR3" s="11"/>
      <c r="CS3" s="11"/>
      <c r="CT3" s="11"/>
      <c r="CU3" s="13"/>
      <c r="CV3" s="13"/>
      <c r="CW3" s="13"/>
      <c r="CX3" s="13"/>
      <c r="CY3" s="13"/>
      <c r="CZ3" s="13"/>
      <c r="DA3" s="13"/>
      <c r="DD3" s="13"/>
      <c r="DE3" s="53" t="s">
        <v>160</v>
      </c>
      <c r="DF3" s="141" t="s">
        <v>62</v>
      </c>
      <c r="DG3" s="141"/>
      <c r="DH3" s="141"/>
      <c r="DI3" s="141"/>
      <c r="DJ3" s="11"/>
      <c r="DK3" s="11"/>
      <c r="DL3" s="13"/>
      <c r="DM3" s="13"/>
      <c r="DN3" s="13"/>
      <c r="DO3" s="13"/>
      <c r="DP3" s="13"/>
      <c r="DQ3" s="13"/>
      <c r="DR3" s="13"/>
      <c r="DS3" s="13"/>
      <c r="DW3" s="27"/>
      <c r="DX3" s="142" t="str">
        <f>CONCATENATE("Results Belbin test per section of ",Start!C7)</f>
        <v xml:space="preserve">Results Belbin test per section of </v>
      </c>
      <c r="DY3" s="142"/>
      <c r="DZ3" s="142"/>
      <c r="EA3" s="142"/>
      <c r="EB3" s="142"/>
      <c r="EC3" s="142"/>
      <c r="ED3" s="142"/>
      <c r="EE3" s="142"/>
      <c r="EF3" s="142"/>
      <c r="EG3" s="142"/>
      <c r="EH3" s="142"/>
      <c r="EI3" s="59"/>
      <c r="EJ3" s="60"/>
      <c r="EK3" s="60"/>
      <c r="EL3" s="60"/>
      <c r="EM3" s="60"/>
      <c r="EN3" s="60"/>
    </row>
    <row r="4" spans="1:194" ht="18" thickBot="1" x14ac:dyDescent="0.35">
      <c r="S4" s="4"/>
      <c r="T4" s="15"/>
      <c r="U4" s="15"/>
      <c r="V4" s="6"/>
      <c r="W4" s="4"/>
      <c r="X4" s="4"/>
      <c r="Y4" s="4"/>
      <c r="Z4" s="4"/>
      <c r="AA4" s="4"/>
      <c r="AB4" s="4"/>
      <c r="AC4" s="4"/>
      <c r="AD4" s="4"/>
      <c r="AE4" s="4"/>
      <c r="AF4" s="4"/>
      <c r="AG4" s="4"/>
      <c r="AJ4" s="4"/>
      <c r="AK4" s="4"/>
      <c r="AL4" s="15"/>
      <c r="AM4" s="15"/>
      <c r="AN4" s="6"/>
      <c r="AO4" s="4"/>
      <c r="AP4" s="4"/>
      <c r="AQ4" s="4"/>
      <c r="AR4" s="4"/>
      <c r="AS4" s="4"/>
      <c r="AT4" s="4"/>
      <c r="AU4" s="4"/>
      <c r="AV4" s="4"/>
      <c r="AW4" s="4"/>
      <c r="AX4" s="4"/>
      <c r="AY4" s="4"/>
      <c r="BB4" s="4"/>
      <c r="BC4" s="4"/>
      <c r="BD4" s="15"/>
      <c r="BE4" s="15"/>
      <c r="BF4" s="6"/>
      <c r="BG4" s="4"/>
      <c r="BH4" s="4"/>
      <c r="BI4" s="4"/>
      <c r="BJ4" s="4"/>
      <c r="BK4" s="4"/>
      <c r="BL4" s="4"/>
      <c r="BM4" s="4"/>
      <c r="BN4" s="4"/>
      <c r="BO4" s="4"/>
      <c r="BP4" s="4"/>
      <c r="BQ4" s="4"/>
      <c r="BT4" s="4"/>
      <c r="BU4" s="4"/>
      <c r="BV4" s="15"/>
      <c r="BW4" s="15"/>
      <c r="BX4" s="6"/>
      <c r="BY4" s="4"/>
      <c r="BZ4" s="4"/>
      <c r="CA4" s="4"/>
      <c r="CB4" s="4"/>
      <c r="CC4" s="4"/>
      <c r="CD4" s="4"/>
      <c r="CE4" s="4"/>
      <c r="CF4" s="4"/>
      <c r="CG4" s="4"/>
      <c r="CH4" s="4"/>
      <c r="CI4" s="4"/>
      <c r="CL4" s="4"/>
      <c r="CM4" s="4"/>
      <c r="CN4" s="15"/>
      <c r="CO4" s="15"/>
      <c r="CP4" s="6"/>
      <c r="CQ4" s="4"/>
      <c r="CR4" s="4"/>
      <c r="CS4" s="4"/>
      <c r="CT4" s="4"/>
      <c r="CU4" s="4"/>
      <c r="CV4" s="4"/>
      <c r="CW4" s="4"/>
      <c r="CX4" s="4"/>
      <c r="CY4" s="4"/>
      <c r="CZ4" s="4"/>
      <c r="DA4" s="4"/>
      <c r="DD4" s="4"/>
      <c r="DE4" s="4"/>
      <c r="DF4" s="15"/>
      <c r="DG4" s="15"/>
      <c r="DH4" s="6"/>
      <c r="DI4" s="4"/>
      <c r="DJ4" s="4"/>
      <c r="DK4" s="4"/>
      <c r="DL4" s="4"/>
      <c r="DM4" s="4"/>
      <c r="DN4" s="4"/>
      <c r="DO4" s="4"/>
      <c r="DP4" s="4"/>
      <c r="DQ4" s="4"/>
      <c r="DR4" s="4"/>
      <c r="DS4" s="4"/>
      <c r="DW4" s="27"/>
      <c r="DX4" s="137" t="s">
        <v>72</v>
      </c>
      <c r="DY4" s="138"/>
      <c r="DZ4" s="137" t="s">
        <v>73</v>
      </c>
      <c r="EA4" s="139"/>
      <c r="EB4" s="139"/>
      <c r="EC4" s="139"/>
      <c r="ED4" s="139"/>
      <c r="EE4" s="139"/>
      <c r="EF4" s="139"/>
      <c r="EG4" s="139"/>
      <c r="EH4" s="138"/>
      <c r="EI4" s="59"/>
      <c r="EJ4" s="59"/>
      <c r="EK4" s="130" t="s">
        <v>81</v>
      </c>
      <c r="EL4" s="131"/>
      <c r="EM4" s="131"/>
      <c r="EN4" s="132"/>
      <c r="EU4" s="28"/>
      <c r="EV4" s="28">
        <f>Start!C7</f>
        <v>0</v>
      </c>
    </row>
    <row r="5" spans="1:194" s="17" customFormat="1" ht="31.95" customHeight="1" thickTop="1" thickBot="1" x14ac:dyDescent="0.35">
      <c r="B5" s="16" t="s">
        <v>1</v>
      </c>
      <c r="C5" s="16"/>
      <c r="D5" s="41"/>
      <c r="F5" s="133" t="s">
        <v>2</v>
      </c>
      <c r="G5" s="134"/>
      <c r="H5" s="134"/>
      <c r="I5" s="134"/>
      <c r="J5" s="134"/>
      <c r="K5" s="134"/>
      <c r="L5" s="134"/>
      <c r="M5" s="134"/>
      <c r="N5" s="134"/>
      <c r="S5" s="18"/>
      <c r="T5" s="19" t="s">
        <v>13</v>
      </c>
      <c r="U5" s="19"/>
      <c r="V5" s="41"/>
      <c r="W5" s="18"/>
      <c r="X5" s="135" t="s">
        <v>2</v>
      </c>
      <c r="Y5" s="136"/>
      <c r="Z5" s="136"/>
      <c r="AA5" s="136"/>
      <c r="AB5" s="136"/>
      <c r="AC5" s="136"/>
      <c r="AD5" s="136"/>
      <c r="AE5" s="136"/>
      <c r="AF5" s="136"/>
      <c r="AG5" s="18"/>
      <c r="AJ5" s="18"/>
      <c r="AK5" s="18"/>
      <c r="AL5" s="19" t="s">
        <v>23</v>
      </c>
      <c r="AM5" s="19"/>
      <c r="AN5" s="41"/>
      <c r="AO5" s="18"/>
      <c r="AP5" s="135" t="s">
        <v>2</v>
      </c>
      <c r="AQ5" s="136"/>
      <c r="AR5" s="136"/>
      <c r="AS5" s="136"/>
      <c r="AT5" s="136"/>
      <c r="AU5" s="136"/>
      <c r="AV5" s="136"/>
      <c r="AW5" s="136"/>
      <c r="AX5" s="136"/>
      <c r="AY5" s="18"/>
      <c r="BB5" s="18"/>
      <c r="BC5" s="18"/>
      <c r="BD5" s="19" t="s">
        <v>33</v>
      </c>
      <c r="BE5" s="19"/>
      <c r="BF5" s="41"/>
      <c r="BG5" s="18"/>
      <c r="BH5" s="135" t="s">
        <v>2</v>
      </c>
      <c r="BI5" s="136"/>
      <c r="BJ5" s="136"/>
      <c r="BK5" s="136"/>
      <c r="BL5" s="136"/>
      <c r="BM5" s="136"/>
      <c r="BN5" s="136"/>
      <c r="BO5" s="136"/>
      <c r="BP5" s="136"/>
      <c r="BQ5" s="18"/>
      <c r="BT5" s="18"/>
      <c r="BU5" s="18"/>
      <c r="BV5" s="19" t="s">
        <v>43</v>
      </c>
      <c r="BW5" s="19"/>
      <c r="BX5" s="41"/>
      <c r="BY5" s="18"/>
      <c r="BZ5" s="135" t="s">
        <v>2</v>
      </c>
      <c r="CA5" s="136"/>
      <c r="CB5" s="136"/>
      <c r="CC5" s="136"/>
      <c r="CD5" s="136"/>
      <c r="CE5" s="136"/>
      <c r="CF5" s="136"/>
      <c r="CG5" s="136"/>
      <c r="CH5" s="136"/>
      <c r="CI5" s="18"/>
      <c r="CL5" s="18"/>
      <c r="CM5" s="18"/>
      <c r="CN5" s="19" t="s">
        <v>53</v>
      </c>
      <c r="CO5" s="19"/>
      <c r="CP5" s="41"/>
      <c r="CQ5" s="18"/>
      <c r="CR5" s="135" t="s">
        <v>2</v>
      </c>
      <c r="CS5" s="136"/>
      <c r="CT5" s="136"/>
      <c r="CU5" s="136"/>
      <c r="CV5" s="136"/>
      <c r="CW5" s="136"/>
      <c r="CX5" s="136"/>
      <c r="CY5" s="136"/>
      <c r="CZ5" s="136"/>
      <c r="DA5" s="18"/>
      <c r="DD5" s="4"/>
      <c r="DE5" s="4"/>
      <c r="DF5" s="15" t="s">
        <v>63</v>
      </c>
      <c r="DG5" s="15"/>
      <c r="DH5" s="41"/>
      <c r="DI5" s="4"/>
      <c r="DJ5" s="135" t="s">
        <v>2</v>
      </c>
      <c r="DK5" s="136"/>
      <c r="DL5" s="136"/>
      <c r="DM5" s="136"/>
      <c r="DN5" s="136"/>
      <c r="DO5" s="136"/>
      <c r="DP5" s="136"/>
      <c r="DQ5" s="136"/>
      <c r="DR5" s="136"/>
      <c r="DS5" s="4"/>
      <c r="DW5" s="27"/>
      <c r="DX5" s="56" t="s">
        <v>74</v>
      </c>
      <c r="DY5" s="56"/>
      <c r="DZ5" s="80">
        <f>D9</f>
        <v>0</v>
      </c>
      <c r="EA5" s="80">
        <f>D13</f>
        <v>0</v>
      </c>
      <c r="EB5" s="80">
        <f>D21</f>
        <v>0</v>
      </c>
      <c r="EC5" s="80">
        <f>D19</f>
        <v>0</v>
      </c>
      <c r="ED5" s="80">
        <f>D5</f>
        <v>0</v>
      </c>
      <c r="EE5" s="80">
        <f>D17</f>
        <v>0</v>
      </c>
      <c r="EF5" s="80">
        <f>D7</f>
        <v>0</v>
      </c>
      <c r="EG5" s="80">
        <f>D11</f>
        <v>0</v>
      </c>
      <c r="EH5" s="80">
        <f>D15</f>
        <v>0</v>
      </c>
      <c r="EI5" s="59"/>
      <c r="EJ5" s="61"/>
      <c r="EK5" s="62" t="s">
        <v>82</v>
      </c>
      <c r="EL5" s="63"/>
      <c r="EM5" s="64">
        <f>DZ19</f>
        <v>0</v>
      </c>
      <c r="EN5" s="65"/>
      <c r="EO5" s="26"/>
      <c r="EU5" s="54" t="str">
        <f>EK5</f>
        <v>Implementor</v>
      </c>
      <c r="EV5" s="54">
        <f>EM5</f>
        <v>0</v>
      </c>
    </row>
    <row r="6" spans="1:194" ht="4.95" customHeight="1" thickTop="1" thickBot="1" x14ac:dyDescent="0.35">
      <c r="F6" s="134"/>
      <c r="G6" s="134"/>
      <c r="H6" s="134"/>
      <c r="I6" s="134"/>
      <c r="J6" s="134"/>
      <c r="K6" s="134"/>
      <c r="L6" s="134"/>
      <c r="M6" s="134"/>
      <c r="N6" s="134"/>
      <c r="S6" s="4"/>
      <c r="T6" s="15"/>
      <c r="U6" s="15"/>
      <c r="V6" s="2"/>
      <c r="W6" s="4"/>
      <c r="X6" s="136"/>
      <c r="Y6" s="136"/>
      <c r="Z6" s="136"/>
      <c r="AA6" s="136"/>
      <c r="AB6" s="136"/>
      <c r="AC6" s="136"/>
      <c r="AD6" s="136"/>
      <c r="AE6" s="136"/>
      <c r="AF6" s="136"/>
      <c r="AG6" s="4"/>
      <c r="AJ6" s="4"/>
      <c r="AK6" s="4"/>
      <c r="AL6" s="15"/>
      <c r="AM6" s="15"/>
      <c r="AN6" s="2"/>
      <c r="AO6" s="4"/>
      <c r="AP6" s="136"/>
      <c r="AQ6" s="136"/>
      <c r="AR6" s="136"/>
      <c r="AS6" s="136"/>
      <c r="AT6" s="136"/>
      <c r="AU6" s="136"/>
      <c r="AV6" s="136"/>
      <c r="AW6" s="136"/>
      <c r="AX6" s="136"/>
      <c r="AY6" s="4"/>
      <c r="BB6" s="4"/>
      <c r="BC6" s="4"/>
      <c r="BD6" s="15"/>
      <c r="BE6" s="15"/>
      <c r="BF6" s="2"/>
      <c r="BG6" s="4"/>
      <c r="BH6" s="136"/>
      <c r="BI6" s="136"/>
      <c r="BJ6" s="136"/>
      <c r="BK6" s="136"/>
      <c r="BL6" s="136"/>
      <c r="BM6" s="136"/>
      <c r="BN6" s="136"/>
      <c r="BO6" s="136"/>
      <c r="BP6" s="136"/>
      <c r="BQ6" s="4"/>
      <c r="BT6" s="4"/>
      <c r="BU6" s="4"/>
      <c r="BV6" s="15"/>
      <c r="BW6" s="15"/>
      <c r="BX6" s="2"/>
      <c r="BY6" s="4"/>
      <c r="BZ6" s="136"/>
      <c r="CA6" s="136"/>
      <c r="CB6" s="136"/>
      <c r="CC6" s="136"/>
      <c r="CD6" s="136"/>
      <c r="CE6" s="136"/>
      <c r="CF6" s="136"/>
      <c r="CG6" s="136"/>
      <c r="CH6" s="136"/>
      <c r="CI6" s="4"/>
      <c r="CL6" s="4"/>
      <c r="CM6" s="4"/>
      <c r="CN6" s="15"/>
      <c r="CO6" s="15"/>
      <c r="CP6" s="2"/>
      <c r="CQ6" s="4"/>
      <c r="CR6" s="136"/>
      <c r="CS6" s="136"/>
      <c r="CT6" s="136"/>
      <c r="CU6" s="136"/>
      <c r="CV6" s="136"/>
      <c r="CW6" s="136"/>
      <c r="CX6" s="136"/>
      <c r="CY6" s="136"/>
      <c r="CZ6" s="136"/>
      <c r="DA6" s="4"/>
      <c r="DD6" s="4"/>
      <c r="DE6" s="4"/>
      <c r="DF6" s="15"/>
      <c r="DG6" s="15"/>
      <c r="DH6" s="2"/>
      <c r="DI6" s="4"/>
      <c r="DJ6" s="136"/>
      <c r="DK6" s="136"/>
      <c r="DL6" s="136"/>
      <c r="DM6" s="136"/>
      <c r="DN6" s="136"/>
      <c r="DO6" s="136"/>
      <c r="DP6" s="136"/>
      <c r="DQ6" s="136"/>
      <c r="DR6" s="136"/>
      <c r="DS6" s="4"/>
      <c r="DW6" s="27"/>
      <c r="DX6" s="66"/>
      <c r="DY6" s="66"/>
      <c r="DZ6" s="66"/>
      <c r="EA6" s="66"/>
      <c r="EB6" s="66"/>
      <c r="EC6" s="66"/>
      <c r="ED6" s="66"/>
      <c r="EE6" s="66"/>
      <c r="EF6" s="66"/>
      <c r="EG6" s="66"/>
      <c r="EH6" s="66"/>
      <c r="EI6" s="59"/>
      <c r="EJ6" s="58"/>
      <c r="EK6" s="67"/>
      <c r="EL6" s="58"/>
      <c r="EM6" s="64"/>
      <c r="EN6" s="68"/>
      <c r="EO6" s="25"/>
      <c r="EU6" s="54" t="str">
        <f>EK7</f>
        <v>Coordinator</v>
      </c>
      <c r="EV6" s="54">
        <f>EM7</f>
        <v>0</v>
      </c>
    </row>
    <row r="7" spans="1:194" s="17" customFormat="1" ht="31.95" customHeight="1" thickTop="1" thickBot="1" x14ac:dyDescent="0.35">
      <c r="B7" s="16" t="s">
        <v>3</v>
      </c>
      <c r="C7" s="16"/>
      <c r="D7" s="41"/>
      <c r="F7" s="134"/>
      <c r="G7" s="134"/>
      <c r="H7" s="134"/>
      <c r="I7" s="134"/>
      <c r="J7" s="134"/>
      <c r="K7" s="134"/>
      <c r="L7" s="134"/>
      <c r="M7" s="134"/>
      <c r="N7" s="134"/>
      <c r="S7" s="18"/>
      <c r="T7" s="19" t="s">
        <v>14</v>
      </c>
      <c r="U7" s="19"/>
      <c r="V7" s="41"/>
      <c r="W7" s="18"/>
      <c r="X7" s="136"/>
      <c r="Y7" s="136"/>
      <c r="Z7" s="136"/>
      <c r="AA7" s="136"/>
      <c r="AB7" s="136"/>
      <c r="AC7" s="136"/>
      <c r="AD7" s="136"/>
      <c r="AE7" s="136"/>
      <c r="AF7" s="136"/>
      <c r="AG7" s="18"/>
      <c r="AJ7" s="18"/>
      <c r="AK7" s="18"/>
      <c r="AL7" s="19" t="s">
        <v>24</v>
      </c>
      <c r="AM7" s="19"/>
      <c r="AN7" s="41"/>
      <c r="AO7" s="18"/>
      <c r="AP7" s="136"/>
      <c r="AQ7" s="136"/>
      <c r="AR7" s="136"/>
      <c r="AS7" s="136"/>
      <c r="AT7" s="136"/>
      <c r="AU7" s="136"/>
      <c r="AV7" s="136"/>
      <c r="AW7" s="136"/>
      <c r="AX7" s="136"/>
      <c r="AY7" s="18"/>
      <c r="BB7" s="18"/>
      <c r="BC7" s="18"/>
      <c r="BD7" s="19" t="s">
        <v>34</v>
      </c>
      <c r="BE7" s="19"/>
      <c r="BF7" s="41"/>
      <c r="BG7" s="18"/>
      <c r="BH7" s="136"/>
      <c r="BI7" s="136"/>
      <c r="BJ7" s="136"/>
      <c r="BK7" s="136"/>
      <c r="BL7" s="136"/>
      <c r="BM7" s="136"/>
      <c r="BN7" s="136"/>
      <c r="BO7" s="136"/>
      <c r="BP7" s="136"/>
      <c r="BQ7" s="18"/>
      <c r="BT7" s="18"/>
      <c r="BU7" s="18"/>
      <c r="BV7" s="19" t="s">
        <v>44</v>
      </c>
      <c r="BW7" s="19"/>
      <c r="BX7" s="41"/>
      <c r="BY7" s="18"/>
      <c r="BZ7" s="136"/>
      <c r="CA7" s="136"/>
      <c r="CB7" s="136"/>
      <c r="CC7" s="136"/>
      <c r="CD7" s="136"/>
      <c r="CE7" s="136"/>
      <c r="CF7" s="136"/>
      <c r="CG7" s="136"/>
      <c r="CH7" s="136"/>
      <c r="CI7" s="18"/>
      <c r="CL7" s="18"/>
      <c r="CM7" s="18"/>
      <c r="CN7" s="19" t="s">
        <v>54</v>
      </c>
      <c r="CO7" s="19"/>
      <c r="CP7" s="41"/>
      <c r="CQ7" s="18"/>
      <c r="CR7" s="136"/>
      <c r="CS7" s="136"/>
      <c r="CT7" s="136"/>
      <c r="CU7" s="136"/>
      <c r="CV7" s="136"/>
      <c r="CW7" s="136"/>
      <c r="CX7" s="136"/>
      <c r="CY7" s="136"/>
      <c r="CZ7" s="136"/>
      <c r="DA7" s="18"/>
      <c r="DD7" s="4"/>
      <c r="DE7" s="4"/>
      <c r="DF7" s="15" t="s">
        <v>64</v>
      </c>
      <c r="DG7" s="15"/>
      <c r="DH7" s="41"/>
      <c r="DI7" s="4"/>
      <c r="DJ7" s="136"/>
      <c r="DK7" s="136"/>
      <c r="DL7" s="136"/>
      <c r="DM7" s="136"/>
      <c r="DN7" s="136"/>
      <c r="DO7" s="136"/>
      <c r="DP7" s="136"/>
      <c r="DQ7" s="136"/>
      <c r="DR7" s="136"/>
      <c r="DS7" s="4"/>
      <c r="DW7" s="27"/>
      <c r="DX7" s="56" t="s">
        <v>75</v>
      </c>
      <c r="DY7" s="56"/>
      <c r="DZ7" s="81">
        <f>V5</f>
        <v>0</v>
      </c>
      <c r="EA7" s="81">
        <f>V17</f>
        <v>0</v>
      </c>
      <c r="EB7" s="81">
        <f>V15</f>
        <v>0</v>
      </c>
      <c r="EC7" s="81">
        <f>V11</f>
        <v>0</v>
      </c>
      <c r="ED7" s="81">
        <f>V21</f>
        <v>0</v>
      </c>
      <c r="EE7" s="81">
        <f>V7</f>
        <v>0</v>
      </c>
      <c r="EF7" s="81">
        <f>V9</f>
        <v>0</v>
      </c>
      <c r="EG7" s="81">
        <f>V13</f>
        <v>0</v>
      </c>
      <c r="EH7" s="81">
        <f>V19</f>
        <v>0</v>
      </c>
      <c r="EI7" s="59"/>
      <c r="EJ7" s="61"/>
      <c r="EK7" s="74" t="s">
        <v>83</v>
      </c>
      <c r="EL7" s="75"/>
      <c r="EM7" s="64">
        <f>EA19</f>
        <v>0</v>
      </c>
      <c r="EN7" s="65"/>
      <c r="EO7" s="26"/>
      <c r="EU7" s="54" t="str">
        <f>EK9</f>
        <v>Shaper</v>
      </c>
      <c r="EV7" s="54">
        <f>EM9</f>
        <v>0</v>
      </c>
    </row>
    <row r="8" spans="1:194" ht="4.95" customHeight="1" thickTop="1" thickBot="1" x14ac:dyDescent="0.35">
      <c r="S8" s="4"/>
      <c r="T8" s="15"/>
      <c r="U8" s="15"/>
      <c r="V8" s="2"/>
      <c r="W8" s="4"/>
      <c r="X8" s="4"/>
      <c r="Y8" s="4"/>
      <c r="Z8" s="4"/>
      <c r="AA8" s="4"/>
      <c r="AB8" s="4"/>
      <c r="AC8" s="4"/>
      <c r="AD8" s="4"/>
      <c r="AE8" s="4"/>
      <c r="AF8" s="4"/>
      <c r="AG8" s="4"/>
      <c r="AJ8" s="4"/>
      <c r="AK8" s="4"/>
      <c r="AL8" s="15"/>
      <c r="AM8" s="15"/>
      <c r="AN8" s="2"/>
      <c r="AO8" s="4"/>
      <c r="AP8" s="4"/>
      <c r="AQ8" s="4"/>
      <c r="AR8" s="4"/>
      <c r="AS8" s="4"/>
      <c r="AT8" s="4"/>
      <c r="AU8" s="4"/>
      <c r="AV8" s="4"/>
      <c r="AW8" s="4"/>
      <c r="AX8" s="4"/>
      <c r="AY8" s="4"/>
      <c r="BB8" s="4"/>
      <c r="BC8" s="4"/>
      <c r="BD8" s="15"/>
      <c r="BE8" s="15"/>
      <c r="BF8" s="2"/>
      <c r="BG8" s="4"/>
      <c r="BH8" s="4"/>
      <c r="BI8" s="4"/>
      <c r="BJ8" s="4"/>
      <c r="BK8" s="4"/>
      <c r="BL8" s="4"/>
      <c r="BM8" s="4"/>
      <c r="BN8" s="4"/>
      <c r="BO8" s="4"/>
      <c r="BP8" s="4"/>
      <c r="BQ8" s="4"/>
      <c r="BT8" s="4"/>
      <c r="BU8" s="4"/>
      <c r="BV8" s="15"/>
      <c r="BW8" s="15"/>
      <c r="BX8" s="2"/>
      <c r="BY8" s="4"/>
      <c r="BZ8" s="4"/>
      <c r="CA8" s="4"/>
      <c r="CB8" s="4"/>
      <c r="CC8" s="4"/>
      <c r="CD8" s="4"/>
      <c r="CE8" s="4"/>
      <c r="CF8" s="4"/>
      <c r="CG8" s="4"/>
      <c r="CH8" s="4"/>
      <c r="CI8" s="4"/>
      <c r="CL8" s="4"/>
      <c r="CM8" s="4"/>
      <c r="CN8" s="15"/>
      <c r="CO8" s="15"/>
      <c r="CP8" s="2"/>
      <c r="CQ8" s="4"/>
      <c r="CR8" s="4"/>
      <c r="CS8" s="4"/>
      <c r="CT8" s="4"/>
      <c r="CU8" s="4"/>
      <c r="CV8" s="4"/>
      <c r="CW8" s="4"/>
      <c r="CX8" s="4"/>
      <c r="CY8" s="4"/>
      <c r="CZ8" s="4"/>
      <c r="DA8" s="4"/>
      <c r="DD8" s="4"/>
      <c r="DE8" s="4"/>
      <c r="DF8" s="15"/>
      <c r="DG8" s="15"/>
      <c r="DH8" s="2"/>
      <c r="DI8" s="4"/>
      <c r="DJ8" s="4"/>
      <c r="DK8" s="4"/>
      <c r="DL8" s="4"/>
      <c r="DM8" s="4"/>
      <c r="DN8" s="4"/>
      <c r="DO8" s="4"/>
      <c r="DP8" s="4"/>
      <c r="DQ8" s="4"/>
      <c r="DR8" s="4"/>
      <c r="DS8" s="4"/>
      <c r="DW8" s="27"/>
      <c r="DX8" s="66"/>
      <c r="DY8" s="66"/>
      <c r="DZ8" s="66"/>
      <c r="EA8" s="66"/>
      <c r="EB8" s="66"/>
      <c r="EC8" s="66"/>
      <c r="ED8" s="66"/>
      <c r="EE8" s="66"/>
      <c r="EF8" s="66"/>
      <c r="EG8" s="66"/>
      <c r="EH8" s="66"/>
      <c r="EI8" s="59"/>
      <c r="EJ8" s="58"/>
      <c r="EK8" s="67"/>
      <c r="EL8" s="58"/>
      <c r="EM8" s="64"/>
      <c r="EN8" s="68"/>
      <c r="EO8" s="25"/>
      <c r="EU8" s="54" t="str">
        <f>EK11</f>
        <v>Plant</v>
      </c>
      <c r="EV8" s="54">
        <f>EM11</f>
        <v>0</v>
      </c>
    </row>
    <row r="9" spans="1:194" s="17" customFormat="1" ht="31.95" customHeight="1" thickTop="1" thickBot="1" x14ac:dyDescent="0.35">
      <c r="B9" s="16" t="s">
        <v>4</v>
      </c>
      <c r="C9" s="16"/>
      <c r="D9" s="41"/>
      <c r="S9" s="18"/>
      <c r="T9" s="19" t="s">
        <v>15</v>
      </c>
      <c r="U9" s="19"/>
      <c r="V9" s="41"/>
      <c r="W9" s="18"/>
      <c r="X9" s="18"/>
      <c r="Y9" s="18"/>
      <c r="Z9" s="18"/>
      <c r="AA9" s="18"/>
      <c r="AB9" s="18"/>
      <c r="AC9" s="18"/>
      <c r="AD9" s="18"/>
      <c r="AE9" s="18"/>
      <c r="AF9" s="18"/>
      <c r="AG9" s="18"/>
      <c r="AJ9" s="18"/>
      <c r="AK9" s="18"/>
      <c r="AL9" s="19" t="s">
        <v>25</v>
      </c>
      <c r="AM9" s="19"/>
      <c r="AN9" s="41"/>
      <c r="AO9" s="18"/>
      <c r="AP9" s="18"/>
      <c r="AQ9" s="18"/>
      <c r="AR9" s="18"/>
      <c r="AS9" s="18"/>
      <c r="AT9" s="128" t="str">
        <f>IF(AS11&gt;0,"YOU HAVE NOT USED ALL OF YOUR POINTS YET","")</f>
        <v>YOU HAVE NOT USED ALL OF YOUR POINTS YET</v>
      </c>
      <c r="AU9" s="128"/>
      <c r="AV9" s="128"/>
      <c r="AW9" s="128"/>
      <c r="AX9" s="18"/>
      <c r="AY9" s="18"/>
      <c r="BB9" s="18"/>
      <c r="BC9" s="18"/>
      <c r="BD9" s="19" t="s">
        <v>35</v>
      </c>
      <c r="BE9" s="19"/>
      <c r="BF9" s="41"/>
      <c r="BG9" s="18"/>
      <c r="BH9" s="18"/>
      <c r="BI9" s="18"/>
      <c r="BJ9" s="18"/>
      <c r="BK9" s="18"/>
      <c r="BL9" s="18"/>
      <c r="BM9" s="18"/>
      <c r="BN9" s="18"/>
      <c r="BO9" s="18"/>
      <c r="BP9" s="18"/>
      <c r="BQ9" s="18"/>
      <c r="BT9" s="18"/>
      <c r="BU9" s="18"/>
      <c r="BV9" s="19" t="s">
        <v>45</v>
      </c>
      <c r="BW9" s="19"/>
      <c r="BX9" s="41"/>
      <c r="BY9" s="18"/>
      <c r="BZ9" s="18"/>
      <c r="CA9" s="18"/>
      <c r="CB9" s="18"/>
      <c r="CC9" s="18"/>
      <c r="CD9" s="18"/>
      <c r="CE9" s="18"/>
      <c r="CF9" s="18"/>
      <c r="CG9" s="18"/>
      <c r="CH9" s="18"/>
      <c r="CI9" s="18"/>
      <c r="CL9" s="18"/>
      <c r="CM9" s="18"/>
      <c r="CN9" s="19" t="s">
        <v>55</v>
      </c>
      <c r="CO9" s="19"/>
      <c r="CP9" s="41"/>
      <c r="CQ9" s="18"/>
      <c r="CR9" s="18"/>
      <c r="CS9" s="18"/>
      <c r="CT9" s="18"/>
      <c r="CU9" s="18"/>
      <c r="CV9" s="18"/>
      <c r="CW9" s="18"/>
      <c r="CX9" s="18"/>
      <c r="CY9" s="18"/>
      <c r="CZ9" s="18"/>
      <c r="DA9" s="18"/>
      <c r="DD9" s="4"/>
      <c r="DE9" s="4"/>
      <c r="DF9" s="15" t="s">
        <v>65</v>
      </c>
      <c r="DG9" s="15"/>
      <c r="DH9" s="41"/>
      <c r="DI9" s="4"/>
      <c r="DJ9" s="4"/>
      <c r="DK9" s="4"/>
      <c r="DL9" s="4"/>
      <c r="DM9" s="4"/>
      <c r="DN9" s="4"/>
      <c r="DO9" s="4"/>
      <c r="DP9" s="4"/>
      <c r="DQ9" s="4"/>
      <c r="DR9" s="4"/>
      <c r="DS9" s="4"/>
      <c r="DW9" s="27"/>
      <c r="DX9" s="56" t="s">
        <v>76</v>
      </c>
      <c r="DY9" s="56"/>
      <c r="DZ9" s="81">
        <f>AN21</f>
        <v>0</v>
      </c>
      <c r="EA9" s="81">
        <f>AN9</f>
        <v>0</v>
      </c>
      <c r="EB9" s="81">
        <f>AN19</f>
        <v>0</v>
      </c>
      <c r="EC9" s="81">
        <f>AN5</f>
        <v>0</v>
      </c>
      <c r="ED9" s="81">
        <f>AN11</f>
        <v>0</v>
      </c>
      <c r="EE9" s="81">
        <f>AN15</f>
        <v>0</v>
      </c>
      <c r="EF9" s="81">
        <f>AN17</f>
        <v>0</v>
      </c>
      <c r="EG9" s="81">
        <f>AN7</f>
        <v>0</v>
      </c>
      <c r="EH9" s="81">
        <f>AN13</f>
        <v>0</v>
      </c>
      <c r="EI9" s="59"/>
      <c r="EJ9" s="61"/>
      <c r="EK9" s="62" t="s">
        <v>84</v>
      </c>
      <c r="EL9" s="63"/>
      <c r="EM9" s="64">
        <f>EB19</f>
        <v>0</v>
      </c>
      <c r="EN9" s="65"/>
      <c r="EO9" s="26"/>
      <c r="EU9" s="54" t="str">
        <f>EK13</f>
        <v>Resource Investigator</v>
      </c>
      <c r="EV9" s="54">
        <f>EM13</f>
        <v>0</v>
      </c>
    </row>
    <row r="10" spans="1:194" ht="4.95" customHeight="1" thickTop="1" thickBot="1" x14ac:dyDescent="0.35">
      <c r="S10" s="4"/>
      <c r="T10" s="15"/>
      <c r="U10" s="15"/>
      <c r="V10" s="2"/>
      <c r="W10" s="4"/>
      <c r="X10" s="4"/>
      <c r="Y10" s="4"/>
      <c r="Z10" s="4"/>
      <c r="AA10" s="4"/>
      <c r="AB10" s="4"/>
      <c r="AC10" s="4"/>
      <c r="AD10" s="4"/>
      <c r="AE10" s="4"/>
      <c r="AF10" s="4"/>
      <c r="AG10" s="4"/>
      <c r="AJ10" s="4"/>
      <c r="AK10" s="4"/>
      <c r="AL10" s="15"/>
      <c r="AM10" s="15"/>
      <c r="AN10" s="2"/>
      <c r="AO10" s="4"/>
      <c r="AP10" s="4"/>
      <c r="AQ10" s="4"/>
      <c r="AR10" s="4"/>
      <c r="AS10" s="4"/>
      <c r="AT10" s="4"/>
      <c r="AU10" s="4"/>
      <c r="AV10" s="4"/>
      <c r="AW10" s="4"/>
      <c r="AX10" s="4"/>
      <c r="AY10" s="4"/>
      <c r="BB10" s="4"/>
      <c r="BC10" s="4"/>
      <c r="BD10" s="15"/>
      <c r="BE10" s="15"/>
      <c r="BF10" s="2"/>
      <c r="BG10" s="4"/>
      <c r="BH10" s="4"/>
      <c r="BI10" s="4"/>
      <c r="BJ10" s="4"/>
      <c r="BK10" s="4"/>
      <c r="BL10" s="4"/>
      <c r="BM10" s="4"/>
      <c r="BN10" s="4"/>
      <c r="BO10" s="4"/>
      <c r="BP10" s="4"/>
      <c r="BQ10" s="4"/>
      <c r="BT10" s="4"/>
      <c r="BU10" s="4"/>
      <c r="BV10" s="15"/>
      <c r="BW10" s="15"/>
      <c r="BX10" s="2"/>
      <c r="BY10" s="4"/>
      <c r="BZ10" s="4"/>
      <c r="CA10" s="4"/>
      <c r="CB10" s="4"/>
      <c r="CC10" s="4"/>
      <c r="CD10" s="4"/>
      <c r="CE10" s="4"/>
      <c r="CF10" s="4"/>
      <c r="CG10" s="4"/>
      <c r="CH10" s="4"/>
      <c r="CI10" s="4"/>
      <c r="CL10" s="4"/>
      <c r="CM10" s="4"/>
      <c r="CN10" s="15"/>
      <c r="CO10" s="15"/>
      <c r="CP10" s="2"/>
      <c r="CQ10" s="4"/>
      <c r="CR10" s="4"/>
      <c r="CS10" s="4"/>
      <c r="CT10" s="4"/>
      <c r="CU10" s="4"/>
      <c r="CV10" s="4"/>
      <c r="CW10" s="4"/>
      <c r="CX10" s="4"/>
      <c r="CY10" s="4"/>
      <c r="CZ10" s="4"/>
      <c r="DA10" s="4"/>
      <c r="DD10" s="4"/>
      <c r="DE10" s="4"/>
      <c r="DF10" s="15"/>
      <c r="DG10" s="15"/>
      <c r="DH10" s="2"/>
      <c r="DI10" s="4"/>
      <c r="DJ10" s="4"/>
      <c r="DK10" s="4"/>
      <c r="DL10" s="4"/>
      <c r="DM10" s="4"/>
      <c r="DN10" s="4"/>
      <c r="DO10" s="4"/>
      <c r="DP10" s="4"/>
      <c r="DQ10" s="4"/>
      <c r="DR10" s="4"/>
      <c r="DS10" s="4"/>
      <c r="DW10" s="27"/>
      <c r="DX10" s="66"/>
      <c r="DY10" s="66"/>
      <c r="DZ10" s="66"/>
      <c r="EA10" s="66"/>
      <c r="EB10" s="66"/>
      <c r="EC10" s="66"/>
      <c r="ED10" s="66"/>
      <c r="EE10" s="66"/>
      <c r="EF10" s="66"/>
      <c r="EG10" s="66"/>
      <c r="EH10" s="66"/>
      <c r="EI10" s="59"/>
      <c r="EJ10" s="58"/>
      <c r="EK10" s="67"/>
      <c r="EL10" s="58"/>
      <c r="EM10" s="64"/>
      <c r="EN10" s="68"/>
      <c r="EO10" s="25"/>
      <c r="EU10" s="54" t="str">
        <f>EK15</f>
        <v>Monitor Evaluator</v>
      </c>
      <c r="EV10" s="54">
        <f>EM15</f>
        <v>0</v>
      </c>
    </row>
    <row r="11" spans="1:194" s="17" customFormat="1" ht="31.95" customHeight="1" thickTop="1" thickBot="1" x14ac:dyDescent="0.35">
      <c r="B11" s="16" t="s">
        <v>5</v>
      </c>
      <c r="C11" s="16"/>
      <c r="D11" s="41"/>
      <c r="F11" s="129" t="s">
        <v>6</v>
      </c>
      <c r="G11" s="129"/>
      <c r="I11" s="22">
        <f>10-SUM(D5,D7,D9,D11,D13,D15,D17,D19,D21)</f>
        <v>10</v>
      </c>
      <c r="J11" s="126" t="str">
        <f>IF(I11&lt;0,"TOO MANY POINTS!","")</f>
        <v/>
      </c>
      <c r="K11" s="126"/>
      <c r="L11" s="126"/>
      <c r="M11" s="126"/>
      <c r="S11" s="18"/>
      <c r="T11" s="19" t="s">
        <v>16</v>
      </c>
      <c r="U11" s="19"/>
      <c r="V11" s="41"/>
      <c r="W11" s="18"/>
      <c r="X11" s="125" t="s">
        <v>6</v>
      </c>
      <c r="Y11" s="125"/>
      <c r="Z11" s="18"/>
      <c r="AA11" s="23">
        <f>10-SUM(V5,V7,V9,V11,V13,V15,V17,V19,V21)</f>
        <v>10</v>
      </c>
      <c r="AB11" s="126" t="str">
        <f>IF(AA11&lt;0,"TOO MANY POINTS!","")</f>
        <v/>
      </c>
      <c r="AC11" s="126"/>
      <c r="AD11" s="126"/>
      <c r="AE11" s="126"/>
      <c r="AF11" s="20"/>
      <c r="AG11" s="18"/>
      <c r="AJ11" s="18"/>
      <c r="AK11" s="18"/>
      <c r="AL11" s="19" t="s">
        <v>26</v>
      </c>
      <c r="AM11" s="19"/>
      <c r="AN11" s="41"/>
      <c r="AO11" s="18"/>
      <c r="AP11" s="125" t="s">
        <v>6</v>
      </c>
      <c r="AQ11" s="125"/>
      <c r="AR11" s="18"/>
      <c r="AS11" s="23">
        <f>10-SUM(AN5,AN7,AN9,AN11,AN13,AN15,AN17,AN19,AN21)</f>
        <v>10</v>
      </c>
      <c r="AT11" s="126" t="str">
        <f>IF(AS11&lt;0,"TOO MANY POINTS!","")</f>
        <v/>
      </c>
      <c r="AU11" s="126"/>
      <c r="AV11" s="126"/>
      <c r="AW11" s="126"/>
      <c r="AX11" s="20"/>
      <c r="AY11" s="18"/>
      <c r="BB11" s="18"/>
      <c r="BC11" s="18"/>
      <c r="BD11" s="19" t="s">
        <v>36</v>
      </c>
      <c r="BE11" s="19"/>
      <c r="BF11" s="41"/>
      <c r="BG11" s="18"/>
      <c r="BH11" s="125" t="s">
        <v>6</v>
      </c>
      <c r="BI11" s="125"/>
      <c r="BJ11" s="18"/>
      <c r="BK11" s="23">
        <f>10-SUM(BF5,BF7,BF9,BF11,BF13,BF15,BF17,BF19,BF21)</f>
        <v>10</v>
      </c>
      <c r="BL11" s="126" t="str">
        <f>IF(BK11&lt;0,"TOO MANY POINTS!","")</f>
        <v/>
      </c>
      <c r="BM11" s="126"/>
      <c r="BN11" s="126"/>
      <c r="BO11" s="126"/>
      <c r="BP11" s="20"/>
      <c r="BQ11" s="18"/>
      <c r="BT11" s="18"/>
      <c r="BU11" s="18"/>
      <c r="BV11" s="19" t="s">
        <v>46</v>
      </c>
      <c r="BW11" s="19"/>
      <c r="BX11" s="41"/>
      <c r="BY11" s="18"/>
      <c r="BZ11" s="125" t="s">
        <v>6</v>
      </c>
      <c r="CA11" s="125"/>
      <c r="CB11" s="18"/>
      <c r="CC11" s="23">
        <f>10-SUM(BX5,BX7,BX9,BX11,BX13,BX15,BX17,BX19,BX21)</f>
        <v>10</v>
      </c>
      <c r="CD11" s="126" t="str">
        <f>IF(CC11&lt;0,"TOO MANY POINTS!","")</f>
        <v/>
      </c>
      <c r="CE11" s="126"/>
      <c r="CF11" s="126"/>
      <c r="CG11" s="126"/>
      <c r="CH11" s="20"/>
      <c r="CI11" s="18"/>
      <c r="CL11" s="18"/>
      <c r="CM11" s="18"/>
      <c r="CN11" s="19" t="s">
        <v>56</v>
      </c>
      <c r="CO11" s="19"/>
      <c r="CP11" s="41"/>
      <c r="CQ11" s="18"/>
      <c r="CR11" s="125" t="s">
        <v>6</v>
      </c>
      <c r="CS11" s="125"/>
      <c r="CT11" s="18"/>
      <c r="CU11" s="23">
        <f>10-SUM(CP5,CP7,CP9,CP11,CP13,CP15,CP17,CP19,CP21)</f>
        <v>10</v>
      </c>
      <c r="CV11" s="126" t="str">
        <f>IF(CU11&lt;0,"TOO MANY POINTS!","")</f>
        <v/>
      </c>
      <c r="CW11" s="126"/>
      <c r="CX11" s="126"/>
      <c r="CY11" s="126"/>
      <c r="CZ11" s="20"/>
      <c r="DA11" s="18"/>
      <c r="DD11" s="4"/>
      <c r="DE11" s="4"/>
      <c r="DF11" s="15" t="s">
        <v>66</v>
      </c>
      <c r="DG11" s="15"/>
      <c r="DH11" s="41"/>
      <c r="DI11" s="4"/>
      <c r="DJ11" s="125" t="s">
        <v>6</v>
      </c>
      <c r="DK11" s="125"/>
      <c r="DL11" s="4"/>
      <c r="DM11" s="23">
        <f>10-SUM(DH5,DH7,DH9,DH11,DH13,DH15,DH17,DH19,DH21)</f>
        <v>10</v>
      </c>
      <c r="DN11" s="126" t="str">
        <f>IF(DM11&lt;0,"TOO MANY POINTS!","")</f>
        <v/>
      </c>
      <c r="DO11" s="126"/>
      <c r="DP11" s="126"/>
      <c r="DQ11" s="126"/>
      <c r="DR11" s="21"/>
      <c r="DS11" s="4"/>
      <c r="DW11" s="27"/>
      <c r="DX11" s="56" t="s">
        <v>77</v>
      </c>
      <c r="DY11" s="56"/>
      <c r="DZ11" s="81">
        <f>BF11</f>
        <v>0</v>
      </c>
      <c r="EA11" s="81">
        <f>BF7</f>
        <v>0</v>
      </c>
      <c r="EB11" s="81">
        <f>BF9</f>
        <v>0</v>
      </c>
      <c r="EC11" s="81">
        <f>BF13</f>
        <v>0</v>
      </c>
      <c r="ED11" s="81">
        <f>BF15</f>
        <v>0</v>
      </c>
      <c r="EE11" s="81">
        <f>BF19</f>
        <v>0</v>
      </c>
      <c r="EF11" s="81">
        <f>BF5</f>
        <v>0</v>
      </c>
      <c r="EG11" s="81">
        <f>BF17</f>
        <v>0</v>
      </c>
      <c r="EH11" s="81">
        <f>BF21</f>
        <v>0</v>
      </c>
      <c r="EI11" s="59"/>
      <c r="EJ11" s="61"/>
      <c r="EK11" s="74" t="s">
        <v>85</v>
      </c>
      <c r="EL11" s="75"/>
      <c r="EM11" s="64">
        <f>EC19</f>
        <v>0</v>
      </c>
      <c r="EN11" s="65"/>
      <c r="EO11" s="26"/>
      <c r="EU11" s="54" t="str">
        <f>EK17</f>
        <v>Team Worker</v>
      </c>
      <c r="EV11" s="54">
        <f>EM17</f>
        <v>0</v>
      </c>
    </row>
    <row r="12" spans="1:194" ht="4.95" customHeight="1" thickTop="1" thickBot="1" x14ac:dyDescent="0.35">
      <c r="J12" s="4"/>
      <c r="K12" s="4"/>
      <c r="L12" s="4"/>
      <c r="M12" s="4"/>
      <c r="S12" s="4"/>
      <c r="T12" s="15"/>
      <c r="U12" s="15"/>
      <c r="V12" s="2"/>
      <c r="W12" s="4"/>
      <c r="X12" s="4"/>
      <c r="Y12" s="4"/>
      <c r="Z12" s="4"/>
      <c r="AA12" s="4"/>
      <c r="AB12" s="4"/>
      <c r="AC12" s="4"/>
      <c r="AD12" s="4"/>
      <c r="AE12" s="4"/>
      <c r="AF12" s="21"/>
      <c r="AG12" s="4"/>
      <c r="AJ12" s="4"/>
      <c r="AK12" s="4"/>
      <c r="AL12" s="15"/>
      <c r="AM12" s="15"/>
      <c r="AN12" s="2"/>
      <c r="AO12" s="4"/>
      <c r="AP12" s="4"/>
      <c r="AQ12" s="4"/>
      <c r="AR12" s="4"/>
      <c r="AS12" s="4"/>
      <c r="AT12" s="4"/>
      <c r="AU12" s="4"/>
      <c r="AV12" s="4"/>
      <c r="AW12" s="4"/>
      <c r="AX12" s="21"/>
      <c r="AY12" s="4"/>
      <c r="BB12" s="4"/>
      <c r="BC12" s="4"/>
      <c r="BD12" s="15"/>
      <c r="BE12" s="15"/>
      <c r="BF12" s="2"/>
      <c r="BG12" s="4"/>
      <c r="BH12" s="4"/>
      <c r="BI12" s="4"/>
      <c r="BJ12" s="4"/>
      <c r="BK12" s="4"/>
      <c r="BL12" s="4"/>
      <c r="BM12" s="4"/>
      <c r="BN12" s="4"/>
      <c r="BO12" s="4"/>
      <c r="BP12" s="21"/>
      <c r="BQ12" s="4"/>
      <c r="BT12" s="4"/>
      <c r="BU12" s="4"/>
      <c r="BV12" s="15"/>
      <c r="BW12" s="15"/>
      <c r="BX12" s="2"/>
      <c r="BY12" s="4"/>
      <c r="BZ12" s="4"/>
      <c r="CA12" s="4"/>
      <c r="CB12" s="4"/>
      <c r="CC12" s="4"/>
      <c r="CD12" s="4"/>
      <c r="CE12" s="4"/>
      <c r="CF12" s="4"/>
      <c r="CG12" s="4"/>
      <c r="CH12" s="21"/>
      <c r="CI12" s="4"/>
      <c r="CL12" s="4"/>
      <c r="CM12" s="4"/>
      <c r="CN12" s="15"/>
      <c r="CO12" s="15"/>
      <c r="CP12" s="2"/>
      <c r="CQ12" s="4"/>
      <c r="CR12" s="4"/>
      <c r="CS12" s="4"/>
      <c r="CT12" s="4"/>
      <c r="CU12" s="4"/>
      <c r="CV12" s="4"/>
      <c r="CW12" s="4"/>
      <c r="CX12" s="4"/>
      <c r="CY12" s="4"/>
      <c r="CZ12" s="21"/>
      <c r="DA12" s="4"/>
      <c r="DD12" s="4"/>
      <c r="DE12" s="4"/>
      <c r="DF12" s="15"/>
      <c r="DG12" s="15"/>
      <c r="DH12" s="2"/>
      <c r="DI12" s="4"/>
      <c r="DJ12" s="4"/>
      <c r="DK12" s="4"/>
      <c r="DL12" s="4"/>
      <c r="DM12" s="4"/>
      <c r="DN12" s="4"/>
      <c r="DO12" s="4"/>
      <c r="DP12" s="4"/>
      <c r="DQ12" s="4"/>
      <c r="DR12" s="21"/>
      <c r="DS12" s="4"/>
      <c r="DW12" s="27"/>
      <c r="DX12" s="66"/>
      <c r="DY12" s="66"/>
      <c r="DZ12" s="66"/>
      <c r="EA12" s="66"/>
      <c r="EB12" s="66"/>
      <c r="EC12" s="66"/>
      <c r="ED12" s="66"/>
      <c r="EE12" s="66"/>
      <c r="EF12" s="66"/>
      <c r="EG12" s="66"/>
      <c r="EH12" s="66"/>
      <c r="EI12" s="59"/>
      <c r="EJ12" s="58"/>
      <c r="EK12" s="67"/>
      <c r="EL12" s="58"/>
      <c r="EM12" s="64"/>
      <c r="EN12" s="68"/>
      <c r="EO12" s="25"/>
      <c r="EU12" s="54" t="str">
        <f>EK19</f>
        <v>Complete Finisher</v>
      </c>
      <c r="EV12" s="54">
        <f>EM19</f>
        <v>0</v>
      </c>
    </row>
    <row r="13" spans="1:194" s="17" customFormat="1" ht="31.95" customHeight="1" thickTop="1" thickBot="1" x14ac:dyDescent="0.35">
      <c r="B13" s="16" t="s">
        <v>7</v>
      </c>
      <c r="C13" s="16"/>
      <c r="D13" s="41"/>
      <c r="J13" s="127" t="str">
        <f>IF(I11&gt;0,"YOU HAVE NOT USED ALL OF YOUR POINTS YET","")</f>
        <v>YOU HAVE NOT USED ALL OF YOUR POINTS YET</v>
      </c>
      <c r="K13" s="127"/>
      <c r="L13" s="127"/>
      <c r="M13" s="127"/>
      <c r="S13" s="18"/>
      <c r="T13" s="19" t="s">
        <v>17</v>
      </c>
      <c r="U13" s="19"/>
      <c r="V13" s="41"/>
      <c r="W13" s="18"/>
      <c r="X13" s="18"/>
      <c r="Y13" s="18"/>
      <c r="Z13" s="18"/>
      <c r="AA13" s="18"/>
      <c r="AB13" s="127" t="str">
        <f>IF(AA11&gt;0,"YOU HAVE NOT USED ALL OF YOUR POINTS YET","")</f>
        <v>YOU HAVE NOT USED ALL OF YOUR POINTS YET</v>
      </c>
      <c r="AC13" s="127"/>
      <c r="AD13" s="127"/>
      <c r="AE13" s="127"/>
      <c r="AF13" s="20"/>
      <c r="AG13" s="18"/>
      <c r="AJ13" s="18"/>
      <c r="AK13" s="18"/>
      <c r="AL13" s="19" t="s">
        <v>27</v>
      </c>
      <c r="AM13" s="19"/>
      <c r="AN13" s="41"/>
      <c r="AO13" s="18"/>
      <c r="AP13" s="18"/>
      <c r="AQ13" s="18"/>
      <c r="AR13" s="18"/>
      <c r="AS13" s="18"/>
      <c r="AT13" s="127" t="str">
        <f>IF(AS11&gt;0,"YOU HAVE NOT USED ALL OF YOUR POINTS YET","")</f>
        <v>YOU HAVE NOT USED ALL OF YOUR POINTS YET</v>
      </c>
      <c r="AU13" s="127"/>
      <c r="AV13" s="127"/>
      <c r="AW13" s="127"/>
      <c r="AX13" s="20"/>
      <c r="AY13" s="18"/>
      <c r="BB13" s="18"/>
      <c r="BC13" s="18"/>
      <c r="BD13" s="19" t="s">
        <v>37</v>
      </c>
      <c r="BE13" s="19"/>
      <c r="BF13" s="41"/>
      <c r="BG13" s="18"/>
      <c r="BH13" s="18"/>
      <c r="BI13" s="18"/>
      <c r="BJ13" s="18"/>
      <c r="BK13" s="18"/>
      <c r="BL13" s="127" t="str">
        <f>IF(BK11&gt;0,"YOU HAVE NOT USED ALL OF YOUR POINTS YET","")</f>
        <v>YOU HAVE NOT USED ALL OF YOUR POINTS YET</v>
      </c>
      <c r="BM13" s="127"/>
      <c r="BN13" s="127"/>
      <c r="BO13" s="127"/>
      <c r="BP13" s="20"/>
      <c r="BQ13" s="18"/>
      <c r="BT13" s="18"/>
      <c r="BU13" s="18"/>
      <c r="BV13" s="19" t="s">
        <v>47</v>
      </c>
      <c r="BW13" s="19"/>
      <c r="BX13" s="41"/>
      <c r="BY13" s="18"/>
      <c r="BZ13" s="18"/>
      <c r="CA13" s="18"/>
      <c r="CB13" s="18"/>
      <c r="CC13" s="18"/>
      <c r="CD13" s="127" t="str">
        <f>IF(CC11&gt;0,"YOU HAVE NOT USED ALL OF YOUR POINTS YET","")</f>
        <v>YOU HAVE NOT USED ALL OF YOUR POINTS YET</v>
      </c>
      <c r="CE13" s="127"/>
      <c r="CF13" s="127"/>
      <c r="CG13" s="127"/>
      <c r="CH13" s="20"/>
      <c r="CI13" s="18"/>
      <c r="CL13" s="18"/>
      <c r="CM13" s="18"/>
      <c r="CN13" s="19" t="s">
        <v>57</v>
      </c>
      <c r="CO13" s="19"/>
      <c r="CP13" s="41"/>
      <c r="CQ13" s="18"/>
      <c r="CR13" s="18"/>
      <c r="CS13" s="18"/>
      <c r="CT13" s="18"/>
      <c r="CU13" s="18"/>
      <c r="CV13" s="127" t="str">
        <f>IF(CU11&gt;0,"YOU HAVE NOT USED ALL OF YOUR POINTS YET","")</f>
        <v>YOU HAVE NOT USED ALL OF YOUR POINTS YET</v>
      </c>
      <c r="CW13" s="127"/>
      <c r="CX13" s="127"/>
      <c r="CY13" s="127"/>
      <c r="CZ13" s="20"/>
      <c r="DA13" s="18"/>
      <c r="DD13" s="4"/>
      <c r="DE13" s="4"/>
      <c r="DF13" s="15" t="s">
        <v>67</v>
      </c>
      <c r="DG13" s="15"/>
      <c r="DH13" s="41"/>
      <c r="DI13" s="4"/>
      <c r="DJ13" s="4"/>
      <c r="DK13" s="4"/>
      <c r="DL13" s="4"/>
      <c r="DM13" s="4"/>
      <c r="DN13" s="127" t="str">
        <f>IF(DM11&gt;0,"YOU HAVE NOT USED ALL OF YOUR POINTS YET","")</f>
        <v>YOU HAVE NOT USED ALL OF YOUR POINTS YET</v>
      </c>
      <c r="DO13" s="127"/>
      <c r="DP13" s="127"/>
      <c r="DQ13" s="127"/>
      <c r="DR13" s="21"/>
      <c r="DS13" s="4"/>
      <c r="DW13" s="27"/>
      <c r="DX13" s="56" t="s">
        <v>78</v>
      </c>
      <c r="DY13" s="56"/>
      <c r="DZ13" s="81">
        <f>BX13</f>
        <v>0</v>
      </c>
      <c r="EA13" s="81">
        <f>BX19</f>
        <v>0</v>
      </c>
      <c r="EB13" s="81">
        <f>BX21</f>
        <v>0</v>
      </c>
      <c r="EC13" s="81">
        <f>BX9</f>
        <v>0</v>
      </c>
      <c r="ED13" s="81">
        <f>BX17</f>
        <v>0</v>
      </c>
      <c r="EE13" s="81">
        <f>BX5</f>
        <v>0</v>
      </c>
      <c r="EF13" s="81">
        <f>BX15</f>
        <v>0</v>
      </c>
      <c r="EG13" s="81">
        <f>BX11</f>
        <v>0</v>
      </c>
      <c r="EH13" s="81">
        <f>BX7</f>
        <v>0</v>
      </c>
      <c r="EI13" s="59"/>
      <c r="EJ13" s="61"/>
      <c r="EK13" s="62" t="s">
        <v>86</v>
      </c>
      <c r="EL13" s="63"/>
      <c r="EM13" s="64">
        <f>ED19</f>
        <v>0</v>
      </c>
      <c r="EN13" s="65"/>
      <c r="EO13" s="26"/>
      <c r="EU13" s="54" t="str">
        <f>EK21</f>
        <v>Specialist</v>
      </c>
      <c r="EV13" s="54">
        <f>EM21</f>
        <v>0</v>
      </c>
    </row>
    <row r="14" spans="1:194" ht="4.95" customHeight="1" thickTop="1" thickBot="1" x14ac:dyDescent="0.35">
      <c r="J14" s="4"/>
      <c r="K14" s="4"/>
      <c r="L14" s="4"/>
      <c r="M14" s="4"/>
      <c r="S14" s="4"/>
      <c r="T14" s="15"/>
      <c r="U14" s="15"/>
      <c r="V14" s="2"/>
      <c r="W14" s="4"/>
      <c r="X14" s="4"/>
      <c r="Y14" s="4"/>
      <c r="Z14" s="4"/>
      <c r="AA14" s="4"/>
      <c r="AB14" s="4"/>
      <c r="AC14" s="4"/>
      <c r="AD14" s="4"/>
      <c r="AE14" s="4"/>
      <c r="AF14" s="21"/>
      <c r="AG14" s="4"/>
      <c r="AJ14" s="4"/>
      <c r="AK14" s="4"/>
      <c r="AL14" s="15"/>
      <c r="AM14" s="15"/>
      <c r="AN14" s="2"/>
      <c r="AO14" s="4"/>
      <c r="AP14" s="4"/>
      <c r="AQ14" s="4"/>
      <c r="AR14" s="4"/>
      <c r="AS14" s="4"/>
      <c r="AT14" s="4"/>
      <c r="AU14" s="4"/>
      <c r="AV14" s="4"/>
      <c r="AW14" s="4"/>
      <c r="AX14" s="21"/>
      <c r="AY14" s="4"/>
      <c r="BB14" s="4"/>
      <c r="BC14" s="4"/>
      <c r="BD14" s="15"/>
      <c r="BE14" s="15"/>
      <c r="BF14" s="2"/>
      <c r="BG14" s="4"/>
      <c r="BH14" s="4"/>
      <c r="BI14" s="4"/>
      <c r="BJ14" s="4"/>
      <c r="BK14" s="4"/>
      <c r="BL14" s="4"/>
      <c r="BM14" s="4"/>
      <c r="BN14" s="4"/>
      <c r="BO14" s="4"/>
      <c r="BP14" s="21"/>
      <c r="BQ14" s="4"/>
      <c r="BT14" s="4"/>
      <c r="BU14" s="4"/>
      <c r="BV14" s="15"/>
      <c r="BW14" s="15"/>
      <c r="BX14" s="2"/>
      <c r="BY14" s="4"/>
      <c r="BZ14" s="4"/>
      <c r="CA14" s="4"/>
      <c r="CB14" s="4"/>
      <c r="CC14" s="4"/>
      <c r="CD14" s="4"/>
      <c r="CE14" s="4"/>
      <c r="CF14" s="4"/>
      <c r="CG14" s="4"/>
      <c r="CH14" s="21"/>
      <c r="CI14" s="4"/>
      <c r="CL14" s="4"/>
      <c r="CM14" s="4"/>
      <c r="CN14" s="15"/>
      <c r="CO14" s="15"/>
      <c r="CP14" s="2"/>
      <c r="CQ14" s="4"/>
      <c r="CR14" s="4"/>
      <c r="CS14" s="4"/>
      <c r="CT14" s="4"/>
      <c r="CU14" s="4"/>
      <c r="CV14" s="4"/>
      <c r="CW14" s="4"/>
      <c r="CX14" s="4"/>
      <c r="CY14" s="4"/>
      <c r="CZ14" s="21"/>
      <c r="DA14" s="4"/>
      <c r="DD14" s="4"/>
      <c r="DE14" s="4"/>
      <c r="DF14" s="15"/>
      <c r="DG14" s="15"/>
      <c r="DH14" s="2"/>
      <c r="DI14" s="4"/>
      <c r="DJ14" s="4"/>
      <c r="DK14" s="4"/>
      <c r="DL14" s="4"/>
      <c r="DM14" s="4"/>
      <c r="DN14" s="4"/>
      <c r="DO14" s="4"/>
      <c r="DP14" s="4"/>
      <c r="DQ14" s="4"/>
      <c r="DR14" s="21"/>
      <c r="DS14" s="4"/>
      <c r="DW14" s="27"/>
      <c r="DX14" s="66"/>
      <c r="DY14" s="66"/>
      <c r="DZ14" s="66"/>
      <c r="EA14" s="66"/>
      <c r="EB14" s="66"/>
      <c r="EC14" s="66"/>
      <c r="ED14" s="66"/>
      <c r="EE14" s="66"/>
      <c r="EF14" s="66"/>
      <c r="EG14" s="66"/>
      <c r="EH14" s="66"/>
      <c r="EI14" s="59"/>
      <c r="EJ14" s="58"/>
      <c r="EK14" s="67"/>
      <c r="EL14" s="58"/>
      <c r="EM14" s="64"/>
      <c r="EN14" s="68"/>
      <c r="EO14" s="25"/>
      <c r="GL14" s="17"/>
    </row>
    <row r="15" spans="1:194" s="17" customFormat="1" ht="31.95" customHeight="1" thickTop="1" thickBot="1" x14ac:dyDescent="0.35">
      <c r="B15" s="16" t="s">
        <v>8</v>
      </c>
      <c r="C15" s="16"/>
      <c r="D15" s="41"/>
      <c r="J15" s="124" t="str">
        <f>IF(I11=0,"THANK YOU, YOU MAY CONTINUE","")</f>
        <v/>
      </c>
      <c r="K15" s="124"/>
      <c r="L15" s="124"/>
      <c r="M15" s="124"/>
      <c r="S15" s="18"/>
      <c r="T15" s="19" t="s">
        <v>18</v>
      </c>
      <c r="U15" s="19"/>
      <c r="V15" s="41"/>
      <c r="W15" s="18"/>
      <c r="X15" s="18"/>
      <c r="Y15" s="18"/>
      <c r="Z15" s="18"/>
      <c r="AA15" s="18"/>
      <c r="AB15" s="124" t="str">
        <f>IF(AA11=0,"THANK YOU, YOU MAY CONTINUE","")</f>
        <v/>
      </c>
      <c r="AC15" s="124"/>
      <c r="AD15" s="124"/>
      <c r="AE15" s="124"/>
      <c r="AF15" s="20"/>
      <c r="AG15" s="18"/>
      <c r="AJ15" s="18"/>
      <c r="AK15" s="18"/>
      <c r="AL15" s="19" t="s">
        <v>28</v>
      </c>
      <c r="AM15" s="19"/>
      <c r="AN15" s="41"/>
      <c r="AO15" s="18"/>
      <c r="AP15" s="18"/>
      <c r="AQ15" s="18"/>
      <c r="AR15" s="18"/>
      <c r="AS15" s="18"/>
      <c r="AT15" s="124" t="str">
        <f>IF(AS11=0,"THANK YOU, YOU MAY CONTINUE","")</f>
        <v/>
      </c>
      <c r="AU15" s="124"/>
      <c r="AV15" s="124"/>
      <c r="AW15" s="124"/>
      <c r="AX15" s="20"/>
      <c r="AY15" s="18"/>
      <c r="BB15" s="18"/>
      <c r="BC15" s="18"/>
      <c r="BD15" s="19" t="s">
        <v>38</v>
      </c>
      <c r="BE15" s="19"/>
      <c r="BF15" s="41"/>
      <c r="BG15" s="18"/>
      <c r="BH15" s="18"/>
      <c r="BI15" s="18"/>
      <c r="BJ15" s="18"/>
      <c r="BK15" s="18"/>
      <c r="BL15" s="124" t="str">
        <f>IF(BK11=0,"THANK YOU, YOU MAY CONTINUE","")</f>
        <v/>
      </c>
      <c r="BM15" s="124"/>
      <c r="BN15" s="124"/>
      <c r="BO15" s="124"/>
      <c r="BP15" s="20"/>
      <c r="BQ15" s="18"/>
      <c r="BT15" s="18"/>
      <c r="BU15" s="18"/>
      <c r="BV15" s="19" t="s">
        <v>48</v>
      </c>
      <c r="BW15" s="19"/>
      <c r="BX15" s="41"/>
      <c r="BY15" s="18"/>
      <c r="BZ15" s="18"/>
      <c r="CA15" s="18"/>
      <c r="CB15" s="18"/>
      <c r="CC15" s="18"/>
      <c r="CD15" s="124" t="str">
        <f>IF(CC11=0,"THANK YOU, YOU MAY CONTINUE","")</f>
        <v/>
      </c>
      <c r="CE15" s="124"/>
      <c r="CF15" s="124"/>
      <c r="CG15" s="124"/>
      <c r="CH15" s="20"/>
      <c r="CI15" s="18"/>
      <c r="CL15" s="18"/>
      <c r="CM15" s="18"/>
      <c r="CN15" s="19" t="s">
        <v>58</v>
      </c>
      <c r="CO15" s="19"/>
      <c r="CP15" s="41"/>
      <c r="CQ15" s="18"/>
      <c r="CR15" s="18"/>
      <c r="CS15" s="18"/>
      <c r="CT15" s="18"/>
      <c r="CU15" s="18"/>
      <c r="CV15" s="124" t="str">
        <f>IF(CU11=0,"THANK YOU, YOU MAY CONTINUE","")</f>
        <v/>
      </c>
      <c r="CW15" s="124"/>
      <c r="CX15" s="124"/>
      <c r="CY15" s="124"/>
      <c r="CZ15" s="20"/>
      <c r="DA15" s="18"/>
      <c r="DD15" s="4"/>
      <c r="DE15" s="4"/>
      <c r="DF15" s="15" t="s">
        <v>68</v>
      </c>
      <c r="DG15" s="15"/>
      <c r="DH15" s="41"/>
      <c r="DI15" s="4"/>
      <c r="DJ15" s="4"/>
      <c r="DK15" s="4"/>
      <c r="DL15" s="4"/>
      <c r="DM15" s="4"/>
      <c r="DN15" s="124" t="str">
        <f>IF(DM11=0,"THANK YOU, YOU MAY CONTINUE","")</f>
        <v/>
      </c>
      <c r="DO15" s="124"/>
      <c r="DP15" s="124"/>
      <c r="DQ15" s="124"/>
      <c r="DR15" s="21"/>
      <c r="DS15" s="4"/>
      <c r="DX15" s="56" t="s">
        <v>79</v>
      </c>
      <c r="DY15" s="56"/>
      <c r="DZ15" s="81">
        <f>CP7</f>
        <v>0</v>
      </c>
      <c r="EA15" s="81">
        <f>CP13</f>
        <v>0</v>
      </c>
      <c r="EB15" s="81">
        <f>CP17</f>
        <v>0</v>
      </c>
      <c r="EC15" s="81">
        <f>CP15</f>
        <v>0</v>
      </c>
      <c r="ED15" s="81">
        <f>CP9</f>
        <v>0</v>
      </c>
      <c r="EE15" s="81">
        <f>CP11</f>
        <v>0</v>
      </c>
      <c r="EF15" s="81">
        <f>CP21</f>
        <v>0</v>
      </c>
      <c r="EG15" s="81">
        <f>CP19</f>
        <v>0</v>
      </c>
      <c r="EH15" s="81">
        <f>CP5</f>
        <v>0</v>
      </c>
      <c r="EI15" s="59"/>
      <c r="EJ15" s="61"/>
      <c r="EK15" s="74" t="s">
        <v>87</v>
      </c>
      <c r="EL15" s="75"/>
      <c r="EM15" s="64">
        <f>EE19</f>
        <v>0</v>
      </c>
      <c r="EN15" s="65"/>
      <c r="EO15" s="26"/>
    </row>
    <row r="16" spans="1:194" ht="4.95" customHeight="1" thickTop="1" thickBot="1" x14ac:dyDescent="0.35">
      <c r="J16" s="4"/>
      <c r="K16" s="4"/>
      <c r="L16" s="4"/>
      <c r="M16" s="4"/>
      <c r="S16" s="4"/>
      <c r="T16" s="15"/>
      <c r="U16" s="15"/>
      <c r="V16" s="2"/>
      <c r="W16" s="4"/>
      <c r="X16" s="4"/>
      <c r="Y16" s="4"/>
      <c r="Z16" s="4"/>
      <c r="AA16" s="4"/>
      <c r="AB16" s="4"/>
      <c r="AC16" s="4"/>
      <c r="AD16" s="4"/>
      <c r="AE16" s="4"/>
      <c r="AF16" s="21"/>
      <c r="AG16" s="4"/>
      <c r="AJ16" s="4"/>
      <c r="AK16" s="4"/>
      <c r="AL16" s="15"/>
      <c r="AM16" s="15"/>
      <c r="AN16" s="2"/>
      <c r="AO16" s="4"/>
      <c r="AP16" s="4"/>
      <c r="AQ16" s="4"/>
      <c r="AR16" s="4"/>
      <c r="AS16" s="4"/>
      <c r="AT16" s="4"/>
      <c r="AU16" s="4"/>
      <c r="AV16" s="4"/>
      <c r="AW16" s="4"/>
      <c r="AX16" s="21"/>
      <c r="AY16" s="4"/>
      <c r="BB16" s="4"/>
      <c r="BC16" s="4"/>
      <c r="BD16" s="15"/>
      <c r="BE16" s="15"/>
      <c r="BF16" s="2"/>
      <c r="BG16" s="4"/>
      <c r="BH16" s="4"/>
      <c r="BI16" s="4"/>
      <c r="BJ16" s="4"/>
      <c r="BK16" s="4"/>
      <c r="BL16" s="4"/>
      <c r="BM16" s="4"/>
      <c r="BN16" s="4"/>
      <c r="BO16" s="4"/>
      <c r="BP16" s="21"/>
      <c r="BQ16" s="4"/>
      <c r="BT16" s="4"/>
      <c r="BU16" s="4"/>
      <c r="BV16" s="15"/>
      <c r="BW16" s="15"/>
      <c r="BX16" s="2"/>
      <c r="BY16" s="4"/>
      <c r="BZ16" s="4"/>
      <c r="CA16" s="4"/>
      <c r="CB16" s="4"/>
      <c r="CC16" s="4"/>
      <c r="CD16" s="4"/>
      <c r="CE16" s="4"/>
      <c r="CF16" s="4"/>
      <c r="CG16" s="4"/>
      <c r="CH16" s="21"/>
      <c r="CI16" s="4"/>
      <c r="CL16" s="4"/>
      <c r="CM16" s="4"/>
      <c r="CN16" s="15"/>
      <c r="CO16" s="15"/>
      <c r="CP16" s="2"/>
      <c r="CQ16" s="4"/>
      <c r="CR16" s="4"/>
      <c r="CS16" s="4"/>
      <c r="CT16" s="4"/>
      <c r="CU16" s="4"/>
      <c r="CV16" s="4"/>
      <c r="CW16" s="4"/>
      <c r="CX16" s="4"/>
      <c r="CY16" s="4"/>
      <c r="CZ16" s="21"/>
      <c r="DA16" s="4"/>
      <c r="DD16" s="4"/>
      <c r="DE16" s="4"/>
      <c r="DF16" s="15"/>
      <c r="DG16" s="15"/>
      <c r="DH16" s="2"/>
      <c r="DI16" s="4"/>
      <c r="DJ16" s="4"/>
      <c r="DK16" s="4"/>
      <c r="DL16" s="4"/>
      <c r="DM16" s="4"/>
      <c r="DN16" s="4"/>
      <c r="DO16" s="4"/>
      <c r="DP16" s="4"/>
      <c r="DQ16" s="4"/>
      <c r="DR16" s="21"/>
      <c r="DS16" s="4"/>
      <c r="DX16" s="66"/>
      <c r="DY16" s="66"/>
      <c r="DZ16" s="66"/>
      <c r="EA16" s="66"/>
      <c r="EB16" s="66"/>
      <c r="EC16" s="66"/>
      <c r="ED16" s="66"/>
      <c r="EE16" s="66"/>
      <c r="EF16" s="66"/>
      <c r="EG16" s="66"/>
      <c r="EH16" s="66"/>
      <c r="EI16" s="59"/>
      <c r="EJ16" s="58"/>
      <c r="EK16" s="67"/>
      <c r="EL16" s="58"/>
      <c r="EM16" s="64"/>
      <c r="EN16" s="68"/>
      <c r="EO16" s="25"/>
      <c r="GL16" s="17"/>
    </row>
    <row r="17" spans="2:194" s="17" customFormat="1" ht="31.95" customHeight="1" thickTop="1" thickBot="1" x14ac:dyDescent="0.35">
      <c r="B17" s="16" t="s">
        <v>9</v>
      </c>
      <c r="C17" s="16"/>
      <c r="D17" s="41"/>
      <c r="J17" s="124"/>
      <c r="K17" s="124"/>
      <c r="L17" s="124"/>
      <c r="M17" s="124"/>
      <c r="S17" s="18"/>
      <c r="T17" s="19" t="s">
        <v>19</v>
      </c>
      <c r="U17" s="19"/>
      <c r="V17" s="41"/>
      <c r="W17" s="18"/>
      <c r="X17" s="18"/>
      <c r="Y17" s="18"/>
      <c r="Z17" s="18"/>
      <c r="AA17" s="18"/>
      <c r="AB17" s="124"/>
      <c r="AC17" s="124"/>
      <c r="AD17" s="124"/>
      <c r="AE17" s="124"/>
      <c r="AF17" s="20"/>
      <c r="AG17" s="18"/>
      <c r="AJ17" s="18"/>
      <c r="AK17" s="18"/>
      <c r="AL17" s="19" t="s">
        <v>29</v>
      </c>
      <c r="AM17" s="19"/>
      <c r="AN17" s="41"/>
      <c r="AO17" s="18"/>
      <c r="AP17" s="18"/>
      <c r="AQ17" s="18"/>
      <c r="AR17" s="18"/>
      <c r="AS17" s="18"/>
      <c r="AT17" s="124"/>
      <c r="AU17" s="124"/>
      <c r="AV17" s="124"/>
      <c r="AW17" s="124"/>
      <c r="AX17" s="20"/>
      <c r="AY17" s="18"/>
      <c r="BB17" s="18"/>
      <c r="BC17" s="18"/>
      <c r="BD17" s="19" t="s">
        <v>39</v>
      </c>
      <c r="BE17" s="19"/>
      <c r="BF17" s="41"/>
      <c r="BG17" s="18"/>
      <c r="BH17" s="18"/>
      <c r="BI17" s="18"/>
      <c r="BJ17" s="18"/>
      <c r="BK17" s="18"/>
      <c r="BL17" s="124"/>
      <c r="BM17" s="124"/>
      <c r="BN17" s="124"/>
      <c r="BO17" s="124"/>
      <c r="BP17" s="20"/>
      <c r="BQ17" s="18"/>
      <c r="BT17" s="18"/>
      <c r="BU17" s="18"/>
      <c r="BV17" s="19" t="s">
        <v>49</v>
      </c>
      <c r="BW17" s="19"/>
      <c r="BX17" s="41"/>
      <c r="BY17" s="18"/>
      <c r="BZ17" s="18"/>
      <c r="CA17" s="18"/>
      <c r="CB17" s="18"/>
      <c r="CC17" s="18"/>
      <c r="CD17" s="124"/>
      <c r="CE17" s="124"/>
      <c r="CF17" s="124"/>
      <c r="CG17" s="124"/>
      <c r="CH17" s="20"/>
      <c r="CI17" s="18"/>
      <c r="CL17" s="18"/>
      <c r="CM17" s="18"/>
      <c r="CN17" s="19" t="s">
        <v>59</v>
      </c>
      <c r="CO17" s="19"/>
      <c r="CP17" s="41"/>
      <c r="CQ17" s="18"/>
      <c r="CR17" s="18"/>
      <c r="CS17" s="18"/>
      <c r="CT17" s="18"/>
      <c r="CU17" s="18"/>
      <c r="CV17" s="124"/>
      <c r="CW17" s="124"/>
      <c r="CX17" s="124"/>
      <c r="CY17" s="124"/>
      <c r="CZ17" s="20"/>
      <c r="DA17" s="18"/>
      <c r="DD17" s="4"/>
      <c r="DE17" s="4"/>
      <c r="DF17" s="15" t="s">
        <v>69</v>
      </c>
      <c r="DG17" s="15"/>
      <c r="DH17" s="41"/>
      <c r="DI17" s="4"/>
      <c r="DJ17" s="4"/>
      <c r="DK17" s="4"/>
      <c r="DL17" s="4"/>
      <c r="DM17" s="4"/>
      <c r="DR17" s="21"/>
      <c r="DS17" s="4"/>
      <c r="DX17" s="56" t="s">
        <v>80</v>
      </c>
      <c r="DY17" s="56"/>
      <c r="DZ17" s="81">
        <f>DH19</f>
        <v>0</v>
      </c>
      <c r="EA17" s="81">
        <f>DH11</f>
        <v>0</v>
      </c>
      <c r="EB17" s="81">
        <f>DH5</f>
        <v>0</v>
      </c>
      <c r="EC17" s="81">
        <f>DH21</f>
        <v>0</v>
      </c>
      <c r="ED17" s="81">
        <f>DH13</f>
        <v>0</v>
      </c>
      <c r="EE17" s="81">
        <f>DH17</f>
        <v>0</v>
      </c>
      <c r="EF17" s="81">
        <f>DH7</f>
        <v>0</v>
      </c>
      <c r="EG17" s="81">
        <f>DH15</f>
        <v>0</v>
      </c>
      <c r="EH17" s="81">
        <f>DH9</f>
        <v>0</v>
      </c>
      <c r="EI17" s="59"/>
      <c r="EJ17" s="61"/>
      <c r="EK17" s="62" t="s">
        <v>88</v>
      </c>
      <c r="EL17" s="63"/>
      <c r="EM17" s="64">
        <f>EF19</f>
        <v>0</v>
      </c>
      <c r="EN17" s="65"/>
      <c r="EO17" s="26"/>
    </row>
    <row r="18" spans="2:194" ht="4.95" customHeight="1" thickTop="1" thickBot="1" x14ac:dyDescent="0.35">
      <c r="S18" s="4"/>
      <c r="T18" s="15"/>
      <c r="U18" s="15"/>
      <c r="V18" s="2"/>
      <c r="W18" s="4"/>
      <c r="X18" s="4"/>
      <c r="Y18" s="4"/>
      <c r="Z18" s="4"/>
      <c r="AA18" s="4"/>
      <c r="AB18" s="4"/>
      <c r="AC18" s="4"/>
      <c r="AD18" s="4"/>
      <c r="AE18" s="4"/>
      <c r="AF18" s="4"/>
      <c r="AG18" s="4"/>
      <c r="AJ18" s="4"/>
      <c r="AK18" s="4"/>
      <c r="AL18" s="15"/>
      <c r="AM18" s="15"/>
      <c r="AN18" s="2"/>
      <c r="AO18" s="4"/>
      <c r="AP18" s="4"/>
      <c r="AQ18" s="4"/>
      <c r="AR18" s="4"/>
      <c r="AS18" s="4"/>
      <c r="AT18" s="4"/>
      <c r="AU18" s="4"/>
      <c r="AV18" s="4"/>
      <c r="AW18" s="4"/>
      <c r="AX18" s="4"/>
      <c r="AY18" s="4"/>
      <c r="BB18" s="4"/>
      <c r="BC18" s="4"/>
      <c r="BD18" s="15"/>
      <c r="BE18" s="15"/>
      <c r="BF18" s="2"/>
      <c r="BG18" s="4"/>
      <c r="BH18" s="4"/>
      <c r="BI18" s="4"/>
      <c r="BJ18" s="4"/>
      <c r="BK18" s="4"/>
      <c r="BL18" s="4"/>
      <c r="BM18" s="4"/>
      <c r="BN18" s="4"/>
      <c r="BO18" s="4"/>
      <c r="BP18" s="4"/>
      <c r="BQ18" s="4"/>
      <c r="BT18" s="4"/>
      <c r="BU18" s="4"/>
      <c r="BV18" s="15"/>
      <c r="BW18" s="15"/>
      <c r="BX18" s="2"/>
      <c r="BY18" s="4"/>
      <c r="BZ18" s="4"/>
      <c r="CA18" s="4"/>
      <c r="CB18" s="4"/>
      <c r="CC18" s="4"/>
      <c r="CD18" s="4"/>
      <c r="CE18" s="4"/>
      <c r="CF18" s="4"/>
      <c r="CG18" s="4"/>
      <c r="CH18" s="4"/>
      <c r="CI18" s="4"/>
      <c r="CL18" s="4"/>
      <c r="CM18" s="4"/>
      <c r="CN18" s="15"/>
      <c r="CO18" s="15"/>
      <c r="CP18" s="2"/>
      <c r="CQ18" s="4"/>
      <c r="CR18" s="4"/>
      <c r="CS18" s="4"/>
      <c r="CT18" s="4"/>
      <c r="CU18" s="4"/>
      <c r="CV18" s="4"/>
      <c r="CW18" s="4"/>
      <c r="CX18" s="4"/>
      <c r="CY18" s="4"/>
      <c r="CZ18" s="4"/>
      <c r="DA18" s="4"/>
      <c r="DD18" s="4"/>
      <c r="DE18" s="4"/>
      <c r="DF18" s="15"/>
      <c r="DG18" s="15"/>
      <c r="DH18" s="2"/>
      <c r="DI18" s="4"/>
      <c r="DJ18" s="4"/>
      <c r="DK18" s="4"/>
      <c r="DL18" s="4"/>
      <c r="DM18" s="4"/>
      <c r="DN18" s="4"/>
      <c r="DO18" s="4"/>
      <c r="DP18" s="4"/>
      <c r="DQ18" s="4"/>
      <c r="DR18" s="4"/>
      <c r="DS18" s="4"/>
      <c r="DX18" s="66"/>
      <c r="DY18" s="56"/>
      <c r="DZ18" s="66"/>
      <c r="EA18" s="66"/>
      <c r="EB18" s="66"/>
      <c r="EC18" s="66"/>
      <c r="ED18" s="66"/>
      <c r="EE18" s="66"/>
      <c r="EF18" s="66"/>
      <c r="EG18" s="66"/>
      <c r="EH18" s="66"/>
      <c r="EI18" s="59"/>
      <c r="EJ18" s="58"/>
      <c r="EK18" s="67"/>
      <c r="EL18" s="58"/>
      <c r="EM18" s="64"/>
      <c r="EN18" s="68"/>
      <c r="EO18" s="25"/>
      <c r="GL18" s="17"/>
    </row>
    <row r="19" spans="2:194" s="17" customFormat="1" ht="31.95" customHeight="1" thickTop="1" thickBot="1" x14ac:dyDescent="0.35">
      <c r="B19" s="16" t="s">
        <v>10</v>
      </c>
      <c r="C19" s="16"/>
      <c r="D19" s="41"/>
      <c r="S19" s="18"/>
      <c r="T19" s="19" t="s">
        <v>20</v>
      </c>
      <c r="U19" s="19"/>
      <c r="V19" s="41"/>
      <c r="W19" s="18"/>
      <c r="X19" s="18"/>
      <c r="Y19" s="18"/>
      <c r="Z19" s="18"/>
      <c r="AA19" s="18"/>
      <c r="AB19" s="18"/>
      <c r="AC19" s="18"/>
      <c r="AD19" s="18"/>
      <c r="AE19" s="18"/>
      <c r="AF19" s="18"/>
      <c r="AG19" s="18"/>
      <c r="AJ19" s="18"/>
      <c r="AK19" s="18"/>
      <c r="AL19" s="19" t="s">
        <v>30</v>
      </c>
      <c r="AM19" s="19"/>
      <c r="AN19" s="41"/>
      <c r="AO19" s="18"/>
      <c r="AP19" s="18"/>
      <c r="AQ19" s="18"/>
      <c r="AR19" s="18"/>
      <c r="AS19" s="18"/>
      <c r="AT19" s="18"/>
      <c r="AU19" s="18"/>
      <c r="AV19" s="18"/>
      <c r="AW19" s="18"/>
      <c r="AX19" s="18"/>
      <c r="AY19" s="18"/>
      <c r="BB19" s="18"/>
      <c r="BC19" s="18"/>
      <c r="BD19" s="19" t="s">
        <v>40</v>
      </c>
      <c r="BE19" s="19"/>
      <c r="BF19" s="41"/>
      <c r="BG19" s="18"/>
      <c r="BH19" s="18"/>
      <c r="BI19" s="18"/>
      <c r="BJ19" s="18"/>
      <c r="BK19" s="18"/>
      <c r="BL19" s="18"/>
      <c r="BM19" s="18"/>
      <c r="BN19" s="18"/>
      <c r="BO19" s="18"/>
      <c r="BP19" s="18"/>
      <c r="BQ19" s="18"/>
      <c r="BT19" s="18"/>
      <c r="BU19" s="18"/>
      <c r="BV19" s="19" t="s">
        <v>50</v>
      </c>
      <c r="BW19" s="19"/>
      <c r="BX19" s="41"/>
      <c r="BY19" s="18"/>
      <c r="BZ19" s="18"/>
      <c r="CA19" s="18"/>
      <c r="CB19" s="18"/>
      <c r="CC19" s="18"/>
      <c r="CD19" s="18"/>
      <c r="CE19" s="18"/>
      <c r="CF19" s="18"/>
      <c r="CG19" s="18"/>
      <c r="CH19" s="18"/>
      <c r="CI19" s="18"/>
      <c r="CL19" s="18"/>
      <c r="CM19" s="18"/>
      <c r="CN19" s="19" t="s">
        <v>60</v>
      </c>
      <c r="CO19" s="19"/>
      <c r="CP19" s="41"/>
      <c r="CQ19" s="18"/>
      <c r="CR19" s="18"/>
      <c r="CS19" s="18"/>
      <c r="CT19" s="18"/>
      <c r="CU19" s="18"/>
      <c r="CV19" s="18"/>
      <c r="CW19" s="18"/>
      <c r="CX19" s="18"/>
      <c r="CY19" s="18"/>
      <c r="CZ19" s="18"/>
      <c r="DA19" s="18"/>
      <c r="DD19" s="4"/>
      <c r="DE19" s="4"/>
      <c r="DF19" s="15" t="s">
        <v>70</v>
      </c>
      <c r="DG19" s="15"/>
      <c r="DH19" s="41"/>
      <c r="DI19" s="4"/>
      <c r="DJ19" s="4"/>
      <c r="DK19" s="4"/>
      <c r="DL19" s="4"/>
      <c r="DM19" s="4"/>
      <c r="DN19" s="4"/>
      <c r="DO19" s="4"/>
      <c r="DP19" s="4"/>
      <c r="DQ19" s="4"/>
      <c r="DR19" s="4"/>
      <c r="DS19" s="4"/>
      <c r="DX19" s="76" t="s">
        <v>73</v>
      </c>
      <c r="DY19" s="77"/>
      <c r="DZ19" s="78">
        <f t="shared" ref="DZ19:EH19" si="0">SUM(DZ5:DZ17)</f>
        <v>0</v>
      </c>
      <c r="EA19" s="78">
        <f t="shared" si="0"/>
        <v>0</v>
      </c>
      <c r="EB19" s="78">
        <f t="shared" si="0"/>
        <v>0</v>
      </c>
      <c r="EC19" s="78">
        <f t="shared" si="0"/>
        <v>0</v>
      </c>
      <c r="ED19" s="78">
        <f t="shared" si="0"/>
        <v>0</v>
      </c>
      <c r="EE19" s="78">
        <f t="shared" si="0"/>
        <v>0</v>
      </c>
      <c r="EF19" s="78">
        <f t="shared" si="0"/>
        <v>0</v>
      </c>
      <c r="EG19" s="78">
        <f t="shared" si="0"/>
        <v>0</v>
      </c>
      <c r="EH19" s="79">
        <f t="shared" si="0"/>
        <v>0</v>
      </c>
      <c r="EI19" s="69" t="str">
        <f>IF(SUM(DZ19:EH19)=70,"OK","Checksum NOK")</f>
        <v>Checksum NOK</v>
      </c>
      <c r="EJ19" s="61"/>
      <c r="EK19" s="74" t="s">
        <v>89</v>
      </c>
      <c r="EL19" s="75"/>
      <c r="EM19" s="64">
        <f>EG19</f>
        <v>0</v>
      </c>
      <c r="EN19" s="65"/>
      <c r="EO19" s="26"/>
    </row>
    <row r="20" spans="2:194" ht="4.95" customHeight="1" thickTop="1" thickBot="1" x14ac:dyDescent="0.35">
      <c r="S20" s="4"/>
      <c r="T20" s="15"/>
      <c r="U20" s="15"/>
      <c r="V20" s="2"/>
      <c r="W20" s="4"/>
      <c r="X20" s="4"/>
      <c r="Y20" s="4"/>
      <c r="Z20" s="4"/>
      <c r="AA20" s="4"/>
      <c r="AB20" s="4"/>
      <c r="AC20" s="4"/>
      <c r="AD20" s="4"/>
      <c r="AE20" s="4"/>
      <c r="AF20" s="4"/>
      <c r="AG20" s="4"/>
      <c r="AJ20" s="4"/>
      <c r="AK20" s="4"/>
      <c r="AL20" s="15"/>
      <c r="AM20" s="15"/>
      <c r="AN20" s="2"/>
      <c r="AO20" s="4"/>
      <c r="AP20" s="4"/>
      <c r="AQ20" s="4"/>
      <c r="AR20" s="4"/>
      <c r="AS20" s="4"/>
      <c r="AT20" s="4"/>
      <c r="AU20" s="4"/>
      <c r="AV20" s="4"/>
      <c r="AW20" s="4"/>
      <c r="AX20" s="4"/>
      <c r="AY20" s="4"/>
      <c r="BB20" s="4"/>
      <c r="BC20" s="4"/>
      <c r="BD20" s="15"/>
      <c r="BE20" s="15"/>
      <c r="BF20" s="2"/>
      <c r="BG20" s="4"/>
      <c r="BH20" s="4"/>
      <c r="BI20" s="4"/>
      <c r="BJ20" s="4"/>
      <c r="BK20" s="4"/>
      <c r="BL20" s="4"/>
      <c r="BM20" s="4"/>
      <c r="BN20" s="4"/>
      <c r="BO20" s="4"/>
      <c r="BP20" s="4"/>
      <c r="BQ20" s="4"/>
      <c r="BT20" s="4"/>
      <c r="BU20" s="4"/>
      <c r="BV20" s="15"/>
      <c r="BW20" s="15"/>
      <c r="BX20" s="2"/>
      <c r="BY20" s="4"/>
      <c r="BZ20" s="4"/>
      <c r="CA20" s="4"/>
      <c r="CB20" s="4"/>
      <c r="CC20" s="4"/>
      <c r="CD20" s="4"/>
      <c r="CE20" s="4"/>
      <c r="CF20" s="4"/>
      <c r="CG20" s="4"/>
      <c r="CH20" s="4"/>
      <c r="CI20" s="4"/>
      <c r="CL20" s="4"/>
      <c r="CM20" s="4"/>
      <c r="CN20" s="15"/>
      <c r="CO20" s="15"/>
      <c r="CP20" s="2"/>
      <c r="CQ20" s="4"/>
      <c r="CR20" s="4"/>
      <c r="CS20" s="4"/>
      <c r="CT20" s="4"/>
      <c r="CU20" s="4"/>
      <c r="CV20" s="4"/>
      <c r="CW20" s="4"/>
      <c r="CX20" s="4"/>
      <c r="CY20" s="4"/>
      <c r="CZ20" s="4"/>
      <c r="DA20" s="4"/>
      <c r="DD20" s="4"/>
      <c r="DE20" s="4"/>
      <c r="DF20" s="15"/>
      <c r="DG20" s="15"/>
      <c r="DH20" s="2"/>
      <c r="DI20" s="4"/>
      <c r="DJ20" s="4"/>
      <c r="DK20" s="4"/>
      <c r="DL20" s="4"/>
      <c r="DM20" s="4"/>
      <c r="DN20" s="4"/>
      <c r="DO20" s="4"/>
      <c r="DP20" s="4"/>
      <c r="DQ20" s="4"/>
      <c r="DR20" s="4"/>
      <c r="DS20" s="4"/>
      <c r="DX20" s="58"/>
      <c r="DY20" s="58"/>
      <c r="DZ20" s="58"/>
      <c r="EA20" s="58"/>
      <c r="EB20" s="70"/>
      <c r="EC20" s="70"/>
      <c r="ED20" s="70"/>
      <c r="EE20" s="70"/>
      <c r="EF20" s="70"/>
      <c r="EG20" s="70"/>
      <c r="EH20" s="70"/>
      <c r="EI20" s="59"/>
      <c r="EJ20" s="58"/>
      <c r="EK20" s="67"/>
      <c r="EL20" s="58"/>
      <c r="EM20" s="64"/>
      <c r="EN20" s="68"/>
      <c r="EO20" s="25"/>
      <c r="GL20" s="17"/>
    </row>
    <row r="21" spans="2:194" s="17" customFormat="1" ht="31.95" customHeight="1" thickTop="1" thickBot="1" x14ac:dyDescent="0.35">
      <c r="B21" s="16" t="s">
        <v>11</v>
      </c>
      <c r="C21" s="16"/>
      <c r="D21" s="41"/>
      <c r="S21" s="18"/>
      <c r="T21" s="19" t="s">
        <v>21</v>
      </c>
      <c r="U21" s="19"/>
      <c r="V21" s="41"/>
      <c r="W21" s="18"/>
      <c r="X21" s="18"/>
      <c r="Y21" s="18"/>
      <c r="Z21" s="18"/>
      <c r="AA21" s="18"/>
      <c r="AB21" s="18"/>
      <c r="AC21" s="18"/>
      <c r="AD21" s="18"/>
      <c r="AE21" s="18"/>
      <c r="AF21" s="18"/>
      <c r="AG21" s="18"/>
      <c r="AJ21" s="18"/>
      <c r="AK21" s="18"/>
      <c r="AL21" s="19" t="s">
        <v>31</v>
      </c>
      <c r="AM21" s="19"/>
      <c r="AN21" s="41"/>
      <c r="AO21" s="18"/>
      <c r="AP21" s="18"/>
      <c r="AQ21" s="18"/>
      <c r="AR21" s="18"/>
      <c r="AS21" s="18"/>
      <c r="AT21" s="18"/>
      <c r="AU21" s="18"/>
      <c r="AV21" s="18"/>
      <c r="AW21" s="18"/>
      <c r="AX21" s="18"/>
      <c r="AY21" s="18"/>
      <c r="BB21" s="18"/>
      <c r="BC21" s="18"/>
      <c r="BD21" s="19" t="s">
        <v>41</v>
      </c>
      <c r="BE21" s="19"/>
      <c r="BF21" s="41"/>
      <c r="BG21" s="18"/>
      <c r="BH21" s="18"/>
      <c r="BI21" s="18"/>
      <c r="BJ21" s="18"/>
      <c r="BK21" s="18"/>
      <c r="BL21" s="18"/>
      <c r="BM21" s="18"/>
      <c r="BN21" s="18"/>
      <c r="BO21" s="18"/>
      <c r="BP21" s="18"/>
      <c r="BQ21" s="18"/>
      <c r="BT21" s="18"/>
      <c r="BU21" s="18"/>
      <c r="BV21" s="19" t="s">
        <v>51</v>
      </c>
      <c r="BW21" s="19"/>
      <c r="BX21" s="41"/>
      <c r="BY21" s="18"/>
      <c r="BZ21" s="18"/>
      <c r="CA21" s="18"/>
      <c r="CB21" s="18"/>
      <c r="CC21" s="18"/>
      <c r="CD21" s="18"/>
      <c r="CE21" s="18"/>
      <c r="CF21" s="18"/>
      <c r="CG21" s="18"/>
      <c r="CH21" s="18"/>
      <c r="CI21" s="18"/>
      <c r="CL21" s="18"/>
      <c r="CM21" s="18"/>
      <c r="CN21" s="19" t="s">
        <v>61</v>
      </c>
      <c r="CO21" s="19"/>
      <c r="CP21" s="41"/>
      <c r="CQ21" s="18"/>
      <c r="CR21" s="18"/>
      <c r="CS21" s="18"/>
      <c r="CT21" s="18"/>
      <c r="CU21" s="18"/>
      <c r="CV21" s="18"/>
      <c r="CW21" s="18"/>
      <c r="CX21" s="18"/>
      <c r="CY21" s="18"/>
      <c r="CZ21" s="18"/>
      <c r="DA21" s="18"/>
      <c r="DD21" s="4"/>
      <c r="DE21" s="4"/>
      <c r="DF21" s="15" t="s">
        <v>71</v>
      </c>
      <c r="DG21" s="15"/>
      <c r="DH21" s="41"/>
      <c r="DI21" s="4"/>
      <c r="DJ21" s="4"/>
      <c r="DK21" s="4"/>
      <c r="DL21" s="4"/>
      <c r="DM21" s="4"/>
      <c r="DN21" s="4"/>
      <c r="DO21" s="4"/>
      <c r="DP21" s="4"/>
      <c r="DQ21" s="4"/>
      <c r="DR21" s="4"/>
      <c r="DS21" s="4"/>
      <c r="DX21" s="56" t="s">
        <v>91</v>
      </c>
      <c r="DY21" s="55"/>
      <c r="DZ21" s="55"/>
      <c r="EA21" s="55"/>
      <c r="EB21" s="70"/>
      <c r="EC21" s="70"/>
      <c r="ED21" s="70"/>
      <c r="EE21" s="70"/>
      <c r="EF21" s="70"/>
      <c r="EG21" s="70"/>
      <c r="EH21" s="70"/>
      <c r="EI21" s="59"/>
      <c r="EJ21" s="61"/>
      <c r="EK21" s="62" t="s">
        <v>90</v>
      </c>
      <c r="EL21" s="63"/>
      <c r="EM21" s="64">
        <f>EH19</f>
        <v>0</v>
      </c>
      <c r="EN21" s="65"/>
      <c r="EO21" s="26"/>
    </row>
    <row r="22" spans="2:194" ht="4.95" customHeight="1" thickTop="1" x14ac:dyDescent="0.3">
      <c r="D22" s="42"/>
      <c r="V22" s="42"/>
      <c r="AJ22" s="4"/>
      <c r="AK22" s="4"/>
      <c r="AL22" s="5"/>
      <c r="AM22" s="5"/>
      <c r="AN22" s="42"/>
      <c r="AO22" s="4"/>
      <c r="AP22" s="4"/>
      <c r="AQ22" s="4"/>
      <c r="AR22" s="4"/>
      <c r="AS22" s="4"/>
      <c r="AT22" s="4"/>
      <c r="AU22" s="4"/>
      <c r="AV22" s="4"/>
      <c r="AW22" s="4"/>
      <c r="AX22" s="4"/>
      <c r="AY22" s="4"/>
      <c r="BB22" s="4"/>
      <c r="BC22" s="4"/>
      <c r="BD22" s="5"/>
      <c r="BE22" s="5"/>
      <c r="BF22" s="42"/>
      <c r="BG22" s="4"/>
      <c r="BH22" s="4"/>
      <c r="BI22" s="4"/>
      <c r="BJ22" s="4"/>
      <c r="BK22" s="4"/>
      <c r="BL22" s="4"/>
      <c r="BM22" s="4"/>
      <c r="BN22" s="4"/>
      <c r="BO22" s="4"/>
      <c r="BP22" s="4"/>
      <c r="BQ22" s="4"/>
      <c r="BT22" s="4"/>
      <c r="BU22" s="4"/>
      <c r="BV22" s="5"/>
      <c r="BW22" s="5"/>
      <c r="BX22" s="42"/>
      <c r="BY22" s="4"/>
      <c r="BZ22" s="4"/>
      <c r="CA22" s="4"/>
      <c r="CB22" s="4"/>
      <c r="CC22" s="4"/>
      <c r="CD22" s="4"/>
      <c r="CE22" s="4"/>
      <c r="CF22" s="4"/>
      <c r="CG22" s="4"/>
      <c r="CH22" s="4"/>
      <c r="CI22" s="4"/>
      <c r="CL22" s="4"/>
      <c r="CM22" s="4"/>
      <c r="CN22" s="15"/>
      <c r="CO22" s="15"/>
      <c r="CP22" s="42"/>
      <c r="CQ22" s="4"/>
      <c r="CR22" s="4"/>
      <c r="CS22" s="4"/>
      <c r="CT22" s="4"/>
      <c r="CU22" s="4"/>
      <c r="CV22" s="4"/>
      <c r="CW22" s="4"/>
      <c r="CX22" s="4"/>
      <c r="CY22" s="4"/>
      <c r="CZ22" s="4"/>
      <c r="DA22" s="4"/>
      <c r="DD22" s="4"/>
      <c r="DE22" s="4"/>
      <c r="DF22" s="5"/>
      <c r="DG22" s="5"/>
      <c r="DH22" s="42"/>
      <c r="DI22" s="4"/>
      <c r="DJ22" s="4"/>
      <c r="DK22" s="4"/>
      <c r="DL22" s="4"/>
      <c r="DM22" s="4"/>
      <c r="DN22" s="4"/>
      <c r="DO22" s="4"/>
      <c r="DP22" s="4"/>
      <c r="DQ22" s="4"/>
      <c r="DR22" s="4"/>
      <c r="DS22" s="4"/>
      <c r="DX22" s="58"/>
      <c r="DY22" s="58"/>
      <c r="DZ22" s="58"/>
      <c r="EA22" s="70"/>
      <c r="EB22" s="70"/>
      <c r="EC22" s="70"/>
      <c r="ED22" s="70"/>
      <c r="EE22" s="70"/>
      <c r="EF22" s="70"/>
      <c r="EG22" s="70"/>
      <c r="EH22" s="70"/>
      <c r="EI22" s="59"/>
      <c r="EJ22" s="55"/>
      <c r="EK22" s="55"/>
      <c r="EL22" s="55"/>
      <c r="EM22" s="55"/>
      <c r="EN22" s="55"/>
      <c r="GL22" s="17"/>
    </row>
    <row r="23" spans="2:194" ht="12.75" customHeight="1" x14ac:dyDescent="0.3">
      <c r="F23" s="122"/>
      <c r="G23" s="122"/>
      <c r="H23" s="122"/>
      <c r="I23" s="122"/>
      <c r="J23" s="122"/>
      <c r="K23" s="122"/>
      <c r="L23" s="122"/>
      <c r="M23" s="122"/>
      <c r="N23" s="122"/>
      <c r="DX23" s="58"/>
      <c r="DY23" s="58"/>
      <c r="DZ23" s="58"/>
      <c r="EA23" s="71"/>
      <c r="EB23" s="70"/>
      <c r="EC23" s="70"/>
      <c r="ED23" s="70"/>
      <c r="EE23" s="70"/>
      <c r="EF23" s="70"/>
      <c r="EG23" s="70"/>
      <c r="EH23" s="70"/>
      <c r="EI23" s="59"/>
      <c r="EJ23" s="58"/>
      <c r="EK23" s="58"/>
      <c r="EL23" s="58"/>
      <c r="EM23" s="58"/>
      <c r="EN23" s="58"/>
      <c r="GL23" s="17"/>
    </row>
    <row r="24" spans="2:194" s="17" customFormat="1" ht="19.95" customHeight="1" x14ac:dyDescent="0.3">
      <c r="B24" s="16"/>
      <c r="C24" s="16"/>
      <c r="D24" s="2"/>
      <c r="F24" s="122"/>
      <c r="G24" s="122"/>
      <c r="H24" s="122"/>
      <c r="I24" s="122"/>
      <c r="J24" s="122"/>
      <c r="K24" s="122"/>
      <c r="L24" s="122"/>
      <c r="M24" s="122"/>
      <c r="N24" s="122"/>
      <c r="DX24" s="55"/>
      <c r="DY24" s="55"/>
      <c r="DZ24" s="55"/>
      <c r="EA24" s="55"/>
      <c r="EB24" s="72"/>
      <c r="EC24" s="72"/>
      <c r="ED24" s="72"/>
      <c r="EE24" s="72"/>
      <c r="EF24" s="72"/>
      <c r="EG24" s="72"/>
      <c r="EH24" s="72"/>
      <c r="EI24" s="62"/>
      <c r="EJ24" s="55"/>
      <c r="EK24" s="55"/>
      <c r="EL24" s="55"/>
      <c r="EM24" s="55"/>
      <c r="EN24" s="55"/>
    </row>
    <row r="25" spans="2:194" s="17" customFormat="1" ht="19.95" customHeight="1" x14ac:dyDescent="0.3">
      <c r="B25" s="16"/>
      <c r="C25" s="16"/>
      <c r="D25" s="2"/>
      <c r="F25" s="122"/>
      <c r="G25" s="122"/>
      <c r="H25" s="122"/>
      <c r="I25" s="122"/>
      <c r="J25" s="122"/>
      <c r="K25" s="122"/>
      <c r="L25" s="122"/>
      <c r="M25" s="122"/>
      <c r="N25" s="122"/>
      <c r="DX25" s="55"/>
      <c r="DY25" s="55"/>
      <c r="DZ25" s="55"/>
      <c r="EA25" s="55"/>
      <c r="EB25" s="72"/>
      <c r="EC25" s="72"/>
      <c r="ED25" s="72"/>
      <c r="EE25" s="72"/>
      <c r="EF25" s="72"/>
      <c r="EG25" s="72"/>
      <c r="EH25" s="72"/>
      <c r="EI25" s="62"/>
      <c r="EJ25" s="55"/>
      <c r="EK25" s="55"/>
      <c r="EL25" s="55"/>
      <c r="EM25" s="55"/>
      <c r="EN25" s="55"/>
    </row>
    <row r="26" spans="2:194" s="17" customFormat="1" ht="19.95" customHeight="1" x14ac:dyDescent="0.3">
      <c r="B26" s="16"/>
      <c r="C26" s="16"/>
      <c r="D26" s="2"/>
      <c r="DX26" s="55"/>
      <c r="DY26" s="55"/>
      <c r="DZ26" s="55"/>
      <c r="EA26" s="55"/>
      <c r="EB26" s="55"/>
      <c r="EC26" s="55"/>
      <c r="ED26" s="55"/>
      <c r="EE26" s="55"/>
      <c r="EF26" s="55"/>
      <c r="EG26" s="55"/>
      <c r="EH26" s="55"/>
      <c r="EI26" s="55"/>
      <c r="EJ26" s="55"/>
      <c r="EK26" s="55"/>
      <c r="EL26" s="55"/>
      <c r="EM26" s="55"/>
      <c r="EN26" s="55"/>
    </row>
    <row r="27" spans="2:194" s="17" customFormat="1" ht="19.95" customHeight="1" x14ac:dyDescent="0.3">
      <c r="B27" s="16"/>
      <c r="C27" s="16"/>
      <c r="D27" s="2"/>
      <c r="DX27" s="55"/>
      <c r="DY27" s="55"/>
      <c r="DZ27" s="55"/>
      <c r="EA27" s="55"/>
      <c r="EB27" s="55"/>
      <c r="EC27" s="55"/>
      <c r="ED27" s="55"/>
      <c r="EE27" s="55"/>
      <c r="EF27" s="55"/>
      <c r="EG27" s="55"/>
      <c r="EH27" s="55"/>
      <c r="EI27" s="55"/>
      <c r="EJ27" s="55"/>
      <c r="EK27" s="55"/>
      <c r="EL27" s="55"/>
      <c r="EM27" s="55"/>
      <c r="EN27" s="55"/>
    </row>
    <row r="28" spans="2:194" s="17" customFormat="1" ht="19.95" customHeight="1" x14ac:dyDescent="0.3">
      <c r="B28" s="16"/>
      <c r="C28" s="16"/>
      <c r="D28" s="2"/>
      <c r="DX28" s="55"/>
      <c r="DY28" s="55"/>
      <c r="DZ28" s="55"/>
      <c r="EA28" s="55"/>
      <c r="EB28" s="55"/>
      <c r="EC28" s="55"/>
      <c r="ED28" s="55"/>
      <c r="EE28" s="55"/>
      <c r="EF28" s="55"/>
      <c r="EG28" s="55"/>
      <c r="EH28" s="55"/>
      <c r="EI28" s="55"/>
      <c r="EJ28" s="55"/>
      <c r="EK28" s="55"/>
      <c r="EL28" s="55"/>
      <c r="EM28" s="55"/>
      <c r="EN28" s="55"/>
    </row>
    <row r="29" spans="2:194" s="17" customFormat="1" ht="19.95" customHeight="1" x14ac:dyDescent="0.3">
      <c r="B29" s="16"/>
      <c r="C29" s="16"/>
      <c r="D29" s="2"/>
      <c r="P29" s="18"/>
      <c r="Q29" s="18"/>
      <c r="R29" s="18"/>
      <c r="S29" s="18"/>
      <c r="DX29" s="55"/>
      <c r="DY29" s="55"/>
      <c r="DZ29" s="55"/>
      <c r="EA29" s="55"/>
      <c r="EB29" s="55"/>
      <c r="EC29" s="55"/>
      <c r="ED29" s="55"/>
      <c r="EE29" s="55"/>
      <c r="EF29" s="55"/>
      <c r="EG29" s="55"/>
      <c r="EH29" s="55"/>
      <c r="EI29" s="55"/>
      <c r="EJ29" s="55"/>
      <c r="EK29" s="55"/>
      <c r="EL29" s="55"/>
      <c r="EM29" s="55"/>
      <c r="EN29" s="55"/>
    </row>
    <row r="30" spans="2:194" s="17" customFormat="1" ht="19.95" customHeight="1" x14ac:dyDescent="0.3">
      <c r="B30" s="16"/>
      <c r="C30" s="16"/>
      <c r="D30" s="2"/>
      <c r="P30" s="10"/>
      <c r="Q30" s="10"/>
      <c r="R30" s="10"/>
      <c r="S30" s="10"/>
      <c r="DX30" s="55"/>
      <c r="DY30" s="55"/>
      <c r="DZ30" s="55"/>
      <c r="EA30" s="55"/>
      <c r="EB30" s="55"/>
      <c r="EC30" s="55"/>
      <c r="ED30" s="55"/>
      <c r="EE30" s="55"/>
      <c r="EF30" s="55"/>
      <c r="EG30" s="55"/>
      <c r="EH30" s="55"/>
      <c r="EI30" s="55"/>
      <c r="EJ30" s="55"/>
      <c r="EK30" s="55"/>
      <c r="EL30" s="55"/>
      <c r="EM30" s="55"/>
      <c r="EN30" s="55"/>
    </row>
    <row r="31" spans="2:194" s="17" customFormat="1" ht="19.95" customHeight="1" x14ac:dyDescent="0.3">
      <c r="B31" s="16"/>
      <c r="C31" s="16"/>
      <c r="D31" s="2"/>
      <c r="P31" s="18"/>
      <c r="Q31" s="18"/>
      <c r="R31" s="18"/>
      <c r="S31" s="18"/>
      <c r="DX31" s="55"/>
      <c r="DY31" s="55"/>
      <c r="DZ31" s="55"/>
      <c r="EA31" s="55"/>
      <c r="EB31" s="55"/>
      <c r="EC31" s="55"/>
      <c r="ED31" s="55"/>
      <c r="EE31" s="55"/>
      <c r="EF31" s="55"/>
      <c r="EG31" s="55"/>
      <c r="EH31" s="55"/>
      <c r="EI31" s="55"/>
      <c r="EJ31" s="55"/>
      <c r="EK31" s="55"/>
      <c r="EL31" s="55"/>
      <c r="EM31" s="55"/>
      <c r="EN31" s="55"/>
    </row>
    <row r="32" spans="2:194" s="17" customFormat="1" ht="19.95" customHeight="1" x14ac:dyDescent="0.3">
      <c r="B32" s="16"/>
      <c r="C32" s="16"/>
      <c r="D32" s="2"/>
      <c r="P32" s="18"/>
      <c r="Q32" s="18"/>
      <c r="R32" s="18"/>
      <c r="S32" s="18"/>
      <c r="DX32" s="55"/>
      <c r="DY32" s="55"/>
      <c r="DZ32" s="55"/>
      <c r="EA32" s="55"/>
      <c r="EB32" s="55"/>
      <c r="EC32" s="55"/>
      <c r="ED32" s="55"/>
      <c r="EE32" s="55"/>
      <c r="EF32" s="55"/>
      <c r="EG32" s="55"/>
      <c r="EH32" s="55"/>
      <c r="EI32" s="55"/>
      <c r="EJ32" s="55"/>
      <c r="EK32" s="55"/>
      <c r="EL32" s="55"/>
      <c r="EM32" s="55"/>
      <c r="EN32" s="55"/>
    </row>
    <row r="33" spans="16:144" x14ac:dyDescent="0.3">
      <c r="P33" s="4"/>
      <c r="Q33" s="4"/>
      <c r="R33" s="4"/>
      <c r="S33" s="4"/>
      <c r="DX33" s="58"/>
      <c r="DY33" s="58"/>
      <c r="DZ33" s="58"/>
      <c r="EA33" s="73"/>
      <c r="EB33" s="58"/>
      <c r="EC33" s="58"/>
      <c r="ED33" s="58"/>
      <c r="EE33" s="58"/>
      <c r="EF33" s="58"/>
      <c r="EG33" s="58"/>
      <c r="EH33" s="58"/>
      <c r="EI33" s="58"/>
      <c r="EJ33" s="58"/>
      <c r="EK33" s="58"/>
      <c r="EL33" s="58"/>
      <c r="EM33" s="58"/>
      <c r="EN33" s="58"/>
    </row>
    <row r="34" spans="16:144" x14ac:dyDescent="0.3">
      <c r="P34" s="4"/>
      <c r="Q34" s="4"/>
      <c r="R34" s="4"/>
      <c r="S34" s="4"/>
      <c r="DX34" s="58"/>
      <c r="DY34" s="58"/>
      <c r="DZ34" s="58"/>
      <c r="EA34" s="58"/>
      <c r="EB34" s="58"/>
      <c r="EC34" s="58"/>
      <c r="ED34" s="58"/>
      <c r="EE34" s="58"/>
      <c r="EF34" s="58"/>
      <c r="EG34" s="58"/>
      <c r="EH34" s="58"/>
      <c r="EI34" s="58"/>
      <c r="EJ34" s="58"/>
      <c r="EK34" s="58"/>
      <c r="EL34" s="58"/>
      <c r="EM34" s="58"/>
      <c r="EN34" s="58"/>
    </row>
    <row r="35" spans="16:144" x14ac:dyDescent="0.3">
      <c r="P35" s="4"/>
      <c r="Q35" s="4"/>
      <c r="R35" s="4"/>
      <c r="S35" s="4"/>
      <c r="DX35" s="58"/>
      <c r="DY35" s="58"/>
      <c r="DZ35" s="58"/>
      <c r="EA35" s="58"/>
      <c r="EB35" s="58"/>
      <c r="EC35" s="58"/>
      <c r="ED35" s="58"/>
      <c r="EE35" s="58"/>
      <c r="EF35" s="58"/>
      <c r="EG35" s="58"/>
      <c r="EH35" s="58"/>
      <c r="EI35" s="58"/>
      <c r="EJ35" s="58"/>
      <c r="EK35" s="58"/>
      <c r="EL35" s="58"/>
      <c r="EM35" s="58"/>
      <c r="EN35" s="58"/>
    </row>
    <row r="36" spans="16:144" x14ac:dyDescent="0.3">
      <c r="P36" s="4"/>
      <c r="Q36" s="4"/>
      <c r="R36" s="4"/>
      <c r="S36" s="4"/>
      <c r="DX36" s="58"/>
      <c r="DY36" s="58"/>
      <c r="DZ36" s="58"/>
      <c r="EA36" s="58"/>
      <c r="EB36" s="58"/>
      <c r="EC36" s="58"/>
      <c r="ED36" s="58"/>
      <c r="EE36" s="58"/>
      <c r="EF36" s="58"/>
      <c r="EG36" s="58"/>
      <c r="EH36" s="58"/>
      <c r="EI36" s="58"/>
      <c r="EJ36" s="58"/>
      <c r="EK36" s="58"/>
      <c r="EL36" s="58"/>
      <c r="EM36" s="58"/>
      <c r="EN36" s="58"/>
    </row>
    <row r="37" spans="16:144" x14ac:dyDescent="0.3">
      <c r="P37" s="4"/>
      <c r="Q37" s="4"/>
      <c r="R37" s="4"/>
      <c r="S37" s="4"/>
      <c r="DX37" s="58"/>
      <c r="DY37" s="58"/>
      <c r="DZ37" s="58"/>
      <c r="EA37" s="58"/>
      <c r="EB37" s="58"/>
      <c r="EC37" s="58"/>
      <c r="ED37" s="58"/>
      <c r="EE37" s="58"/>
      <c r="EF37" s="58"/>
      <c r="EG37" s="58"/>
      <c r="EH37" s="58"/>
      <c r="EI37" s="58"/>
      <c r="EJ37" s="58"/>
      <c r="EK37" s="58"/>
      <c r="EL37" s="58"/>
      <c r="EM37" s="58"/>
      <c r="EN37" s="58"/>
    </row>
    <row r="38" spans="16:144" x14ac:dyDescent="0.3">
      <c r="P38" s="4"/>
      <c r="Q38" s="4"/>
      <c r="R38" s="4"/>
      <c r="S38" s="4"/>
      <c r="DX38" s="58"/>
      <c r="DY38" s="58"/>
      <c r="DZ38" s="58"/>
      <c r="EA38" s="58"/>
      <c r="EB38" s="58"/>
      <c r="EC38" s="58"/>
      <c r="ED38" s="58"/>
      <c r="EE38" s="58"/>
      <c r="EF38" s="58"/>
      <c r="EG38" s="58"/>
      <c r="EH38" s="58"/>
      <c r="EI38" s="58"/>
      <c r="EJ38" s="58"/>
      <c r="EK38" s="58"/>
      <c r="EL38" s="58"/>
      <c r="EM38" s="58"/>
      <c r="EN38" s="58"/>
    </row>
    <row r="39" spans="16:144" x14ac:dyDescent="0.3">
      <c r="P39" s="4"/>
      <c r="Q39" s="4"/>
      <c r="R39" s="4"/>
      <c r="S39" s="4"/>
      <c r="DX39" s="58"/>
      <c r="DY39" s="58"/>
      <c r="DZ39" s="58"/>
      <c r="EA39" s="58"/>
      <c r="EB39" s="58"/>
      <c r="EC39" s="58"/>
      <c r="ED39" s="58"/>
      <c r="EE39" s="58"/>
      <c r="EF39" s="58"/>
      <c r="EG39" s="58"/>
      <c r="EH39" s="58"/>
      <c r="EI39" s="58"/>
      <c r="EJ39" s="58"/>
      <c r="EK39" s="58"/>
      <c r="EL39" s="58"/>
      <c r="EM39" s="58"/>
      <c r="EN39" s="58"/>
    </row>
    <row r="40" spans="16:144" x14ac:dyDescent="0.3">
      <c r="P40" s="4"/>
      <c r="Q40" s="4"/>
      <c r="R40" s="4"/>
      <c r="S40" s="4"/>
      <c r="DX40" s="58"/>
      <c r="DY40" s="58"/>
      <c r="DZ40" s="58"/>
      <c r="EA40" s="58"/>
      <c r="EB40" s="58"/>
      <c r="EC40" s="58"/>
      <c r="ED40" s="58"/>
      <c r="EE40" s="58"/>
      <c r="EF40" s="58"/>
      <c r="EG40" s="58"/>
      <c r="EH40" s="58"/>
      <c r="EI40" s="58"/>
      <c r="EJ40" s="58"/>
      <c r="EK40" s="58"/>
      <c r="EL40" s="58"/>
      <c r="EM40" s="58"/>
      <c r="EN40" s="58"/>
    </row>
    <row r="41" spans="16:144" x14ac:dyDescent="0.3">
      <c r="P41" s="4"/>
      <c r="Q41" s="4"/>
      <c r="R41" s="4"/>
      <c r="S41" s="4"/>
      <c r="DX41" s="58"/>
      <c r="DY41" s="58"/>
      <c r="DZ41" s="58"/>
      <c r="EA41" s="58"/>
      <c r="EB41" s="58"/>
      <c r="EC41" s="58"/>
      <c r="ED41" s="58"/>
      <c r="EE41" s="58"/>
      <c r="EF41" s="58"/>
      <c r="EG41" s="58"/>
      <c r="EH41" s="58"/>
      <c r="EI41" s="58"/>
      <c r="EJ41" s="58"/>
      <c r="EK41" s="58"/>
      <c r="EL41" s="58"/>
      <c r="EM41" s="58"/>
      <c r="EN41" s="58"/>
    </row>
    <row r="42" spans="16:144" x14ac:dyDescent="0.3">
      <c r="P42" s="4"/>
      <c r="Q42" s="4"/>
      <c r="R42" s="4"/>
      <c r="S42" s="4"/>
      <c r="DX42" s="58"/>
      <c r="DY42" s="58"/>
      <c r="DZ42" s="58"/>
      <c r="EA42" s="58"/>
      <c r="EB42" s="58"/>
      <c r="EC42" s="58"/>
      <c r="ED42" s="58"/>
      <c r="EE42" s="58"/>
      <c r="EF42" s="58"/>
      <c r="EG42" s="58"/>
      <c r="EH42" s="58"/>
      <c r="EI42" s="58"/>
      <c r="EJ42" s="58"/>
      <c r="EK42" s="58"/>
      <c r="EL42" s="58"/>
      <c r="EM42" s="58"/>
      <c r="EN42" s="58"/>
    </row>
    <row r="43" spans="16:144" x14ac:dyDescent="0.3">
      <c r="P43" s="4"/>
      <c r="Q43" s="4"/>
      <c r="R43" s="4"/>
      <c r="S43" s="4"/>
      <c r="DX43" s="58"/>
      <c r="DY43" s="58"/>
      <c r="DZ43" s="58"/>
      <c r="EA43" s="58"/>
      <c r="EB43" s="58"/>
      <c r="EC43" s="58"/>
      <c r="ED43" s="58"/>
      <c r="EE43" s="58"/>
      <c r="EF43" s="58"/>
      <c r="EG43" s="58"/>
      <c r="EH43" s="58"/>
      <c r="EI43" s="58"/>
      <c r="EJ43" s="58"/>
      <c r="EK43" s="58"/>
      <c r="EL43" s="58"/>
      <c r="EM43" s="58"/>
      <c r="EN43" s="58"/>
    </row>
    <row r="44" spans="16:144" x14ac:dyDescent="0.3">
      <c r="P44" s="4"/>
      <c r="Q44" s="4"/>
      <c r="R44" s="4"/>
      <c r="S44" s="4"/>
      <c r="DX44" s="58"/>
      <c r="DY44" s="58"/>
      <c r="DZ44" s="58"/>
      <c r="EA44" s="58"/>
      <c r="EB44" s="58"/>
      <c r="EC44" s="58"/>
      <c r="ED44" s="58"/>
      <c r="EE44" s="58"/>
      <c r="EF44" s="58"/>
      <c r="EG44" s="58"/>
      <c r="EH44" s="58"/>
      <c r="EI44" s="58"/>
      <c r="EJ44" s="58"/>
      <c r="EK44" s="58"/>
      <c r="EL44" s="58"/>
      <c r="EM44" s="58"/>
      <c r="EN44" s="58"/>
    </row>
    <row r="45" spans="16:144" x14ac:dyDescent="0.3">
      <c r="P45" s="4"/>
      <c r="Q45" s="4"/>
      <c r="R45" s="4"/>
      <c r="S45" s="4"/>
      <c r="DX45" s="58"/>
      <c r="DY45" s="58"/>
      <c r="DZ45" s="58"/>
      <c r="EA45" s="58"/>
      <c r="EB45" s="58"/>
      <c r="EC45" s="58"/>
      <c r="ED45" s="58"/>
      <c r="EE45" s="58"/>
      <c r="EF45" s="58"/>
      <c r="EG45" s="58"/>
      <c r="EH45" s="58"/>
      <c r="EI45" s="58"/>
      <c r="EJ45" s="58"/>
      <c r="EK45" s="58"/>
      <c r="EL45" s="58"/>
      <c r="EM45" s="58"/>
      <c r="EN45" s="58"/>
    </row>
    <row r="46" spans="16:144" x14ac:dyDescent="0.3">
      <c r="P46" s="4"/>
      <c r="Q46" s="4"/>
      <c r="R46" s="4"/>
      <c r="S46" s="4"/>
      <c r="DX46" s="58"/>
      <c r="DY46" s="58"/>
      <c r="DZ46" s="58"/>
      <c r="EA46" s="58"/>
      <c r="EB46" s="58"/>
      <c r="EC46" s="58"/>
      <c r="ED46" s="58"/>
      <c r="EE46" s="58"/>
      <c r="EF46" s="58"/>
      <c r="EG46" s="58"/>
      <c r="EH46" s="58"/>
      <c r="EI46" s="58"/>
      <c r="EJ46" s="58"/>
      <c r="EK46" s="58"/>
      <c r="EL46" s="58"/>
      <c r="EM46" s="58"/>
      <c r="EN46" s="58"/>
    </row>
    <row r="47" spans="16:144" x14ac:dyDescent="0.3">
      <c r="P47" s="4"/>
      <c r="Q47" s="4"/>
      <c r="R47" s="4"/>
      <c r="S47" s="4"/>
      <c r="DX47" s="58"/>
      <c r="DY47" s="58"/>
      <c r="DZ47" s="58"/>
      <c r="EA47" s="58"/>
      <c r="EB47" s="58"/>
      <c r="EC47" s="58"/>
      <c r="ED47" s="58"/>
      <c r="EE47" s="58"/>
      <c r="EF47" s="58"/>
      <c r="EG47" s="58"/>
      <c r="EH47" s="58"/>
      <c r="EI47" s="58"/>
      <c r="EJ47" s="58"/>
      <c r="EK47" s="58"/>
      <c r="EL47" s="58"/>
      <c r="EM47" s="58"/>
      <c r="EN47" s="58"/>
    </row>
    <row r="48" spans="16:144" x14ac:dyDescent="0.3">
      <c r="P48" s="4"/>
      <c r="Q48" s="4"/>
      <c r="R48" s="4"/>
      <c r="S48" s="4"/>
      <c r="DX48" s="58"/>
      <c r="DY48" s="58"/>
      <c r="DZ48" s="58"/>
      <c r="EA48" s="58"/>
      <c r="EB48" s="58"/>
      <c r="EC48" s="58"/>
      <c r="ED48" s="58"/>
      <c r="EE48" s="58"/>
      <c r="EF48" s="58"/>
      <c r="EG48" s="58"/>
      <c r="EH48" s="58"/>
      <c r="EI48" s="58"/>
      <c r="EJ48" s="58"/>
      <c r="EK48" s="58"/>
      <c r="EL48" s="58"/>
      <c r="EM48" s="58"/>
      <c r="EN48" s="58"/>
    </row>
    <row r="49" spans="1:144" x14ac:dyDescent="0.3">
      <c r="A49" s="4"/>
      <c r="B49" s="5"/>
      <c r="C49" s="5"/>
      <c r="D49" s="6"/>
      <c r="E49" s="4"/>
      <c r="F49" s="4"/>
      <c r="G49" s="4"/>
      <c r="H49" s="4"/>
      <c r="I49" s="4"/>
      <c r="J49" s="4"/>
      <c r="K49" s="4"/>
      <c r="L49" s="4"/>
      <c r="M49" s="4"/>
      <c r="N49" s="4"/>
      <c r="O49" s="4"/>
      <c r="P49" s="4"/>
      <c r="Q49" s="4"/>
      <c r="R49" s="4"/>
      <c r="S49" s="4"/>
      <c r="DX49" s="58"/>
      <c r="DY49" s="58"/>
      <c r="DZ49" s="58"/>
      <c r="EA49" s="58"/>
      <c r="EB49" s="58"/>
      <c r="EC49" s="58"/>
      <c r="ED49" s="58"/>
      <c r="EE49" s="58"/>
      <c r="EF49" s="58"/>
      <c r="EG49" s="58"/>
      <c r="EH49" s="58"/>
      <c r="EI49" s="58"/>
      <c r="EJ49" s="58"/>
      <c r="EK49" s="58"/>
      <c r="EL49" s="58"/>
      <c r="EM49" s="58"/>
      <c r="EN49" s="58"/>
    </row>
    <row r="50" spans="1:144" x14ac:dyDescent="0.3">
      <c r="A50" s="4"/>
      <c r="B50" s="5"/>
      <c r="C50" s="5"/>
      <c r="D50" s="6"/>
      <c r="E50" s="4"/>
      <c r="F50" s="123"/>
      <c r="G50" s="123"/>
      <c r="H50" s="123"/>
      <c r="I50" s="123"/>
      <c r="J50" s="123"/>
      <c r="K50" s="123"/>
      <c r="L50" s="123"/>
      <c r="M50" s="123"/>
      <c r="N50" s="123"/>
      <c r="O50" s="4"/>
      <c r="P50" s="4"/>
      <c r="Q50" s="4"/>
      <c r="R50" s="4"/>
      <c r="S50" s="4"/>
      <c r="DX50" s="58"/>
      <c r="DY50" s="58"/>
      <c r="DZ50" s="58"/>
      <c r="EA50" s="58"/>
      <c r="EB50" s="58"/>
      <c r="EC50" s="58"/>
      <c r="ED50" s="58"/>
      <c r="EE50" s="58"/>
      <c r="EF50" s="58"/>
      <c r="EG50" s="58"/>
      <c r="EH50" s="58"/>
      <c r="EI50" s="58"/>
      <c r="EJ50" s="58"/>
      <c r="EK50" s="58"/>
      <c r="EL50" s="58"/>
      <c r="EM50" s="58"/>
      <c r="EN50" s="58"/>
    </row>
    <row r="51" spans="1:144" x14ac:dyDescent="0.3">
      <c r="A51" s="4"/>
      <c r="B51" s="5"/>
      <c r="C51" s="5"/>
      <c r="D51" s="6"/>
      <c r="E51" s="4"/>
      <c r="F51" s="123"/>
      <c r="G51" s="123"/>
      <c r="H51" s="123"/>
      <c r="I51" s="123"/>
      <c r="J51" s="123"/>
      <c r="K51" s="123"/>
      <c r="L51" s="123"/>
      <c r="M51" s="123"/>
      <c r="N51" s="123"/>
      <c r="O51" s="4"/>
      <c r="P51" s="4"/>
      <c r="Q51" s="4"/>
      <c r="R51" s="4"/>
      <c r="S51" s="4"/>
      <c r="DX51" s="58"/>
      <c r="DY51" s="58"/>
      <c r="DZ51" s="58"/>
      <c r="EA51" s="58"/>
      <c r="EB51" s="58"/>
      <c r="EC51" s="58"/>
      <c r="ED51" s="58"/>
      <c r="EE51" s="58"/>
      <c r="EF51" s="58"/>
      <c r="EG51" s="58"/>
      <c r="EH51" s="58"/>
      <c r="EI51" s="58"/>
      <c r="EJ51" s="58"/>
      <c r="EK51" s="58"/>
      <c r="EL51" s="58"/>
      <c r="EM51" s="58"/>
      <c r="EN51" s="58"/>
    </row>
    <row r="52" spans="1:144" x14ac:dyDescent="0.3">
      <c r="A52" s="4"/>
      <c r="B52" s="5"/>
      <c r="C52" s="5"/>
      <c r="D52" s="6"/>
      <c r="E52" s="4"/>
      <c r="F52" s="123"/>
      <c r="G52" s="123"/>
      <c r="H52" s="123"/>
      <c r="I52" s="123"/>
      <c r="J52" s="123"/>
      <c r="K52" s="123"/>
      <c r="L52" s="123"/>
      <c r="M52" s="123"/>
      <c r="N52" s="123"/>
      <c r="O52" s="4"/>
      <c r="P52" s="4"/>
      <c r="Q52" s="4"/>
      <c r="R52" s="4"/>
      <c r="S52" s="4"/>
      <c r="DX52" s="58"/>
      <c r="DY52" s="58"/>
      <c r="DZ52" s="58"/>
      <c r="EA52" s="58"/>
      <c r="EB52" s="58"/>
      <c r="EC52" s="58"/>
      <c r="ED52" s="58"/>
      <c r="EE52" s="58"/>
      <c r="EF52" s="58"/>
      <c r="EG52" s="58"/>
      <c r="EH52" s="58"/>
      <c r="EI52" s="58"/>
      <c r="EJ52" s="58"/>
      <c r="EK52" s="58"/>
      <c r="EL52" s="58"/>
      <c r="EM52" s="58"/>
      <c r="EN52" s="58"/>
    </row>
    <row r="53" spans="1:144" x14ac:dyDescent="0.3">
      <c r="A53" s="4"/>
      <c r="B53" s="5"/>
      <c r="C53" s="5"/>
      <c r="D53" s="6"/>
      <c r="E53" s="4"/>
      <c r="F53" s="4"/>
      <c r="G53" s="4"/>
      <c r="H53" s="4"/>
      <c r="I53" s="4"/>
      <c r="J53" s="4"/>
      <c r="K53" s="4"/>
      <c r="L53" s="4"/>
      <c r="M53" s="4"/>
      <c r="N53" s="4"/>
      <c r="O53" s="4"/>
      <c r="P53" s="4"/>
      <c r="Q53" s="4"/>
      <c r="R53" s="4"/>
      <c r="S53" s="4"/>
    </row>
  </sheetData>
  <sheetProtection sheet="1" objects="1" scenarios="1" selectLockedCells="1"/>
  <mergeCells count="52">
    <mergeCell ref="T3:W3"/>
    <mergeCell ref="BD3:BF3"/>
    <mergeCell ref="CN3:CQ3"/>
    <mergeCell ref="DF3:DI3"/>
    <mergeCell ref="DX3:EH3"/>
    <mergeCell ref="EK4:EN4"/>
    <mergeCell ref="F5:N7"/>
    <mergeCell ref="X5:AF7"/>
    <mergeCell ref="AP5:AX7"/>
    <mergeCell ref="BH5:BP7"/>
    <mergeCell ref="BZ5:CH7"/>
    <mergeCell ref="CR5:CZ7"/>
    <mergeCell ref="DJ5:DR7"/>
    <mergeCell ref="DX4:DY4"/>
    <mergeCell ref="DZ4:EH4"/>
    <mergeCell ref="AT9:AW9"/>
    <mergeCell ref="F11:G11"/>
    <mergeCell ref="J11:M11"/>
    <mergeCell ref="X11:Y11"/>
    <mergeCell ref="AB11:AE11"/>
    <mergeCell ref="AP11:AQ11"/>
    <mergeCell ref="AT11:AW11"/>
    <mergeCell ref="DJ11:DK11"/>
    <mergeCell ref="DN11:DQ11"/>
    <mergeCell ref="J13:M13"/>
    <mergeCell ref="AB13:AE13"/>
    <mergeCell ref="AT13:AW13"/>
    <mergeCell ref="BL13:BO13"/>
    <mergeCell ref="CD13:CG13"/>
    <mergeCell ref="CV13:CY13"/>
    <mergeCell ref="DN13:DQ13"/>
    <mergeCell ref="BH11:BI11"/>
    <mergeCell ref="BL11:BO11"/>
    <mergeCell ref="BZ11:CA11"/>
    <mergeCell ref="CD11:CG11"/>
    <mergeCell ref="CR11:CS11"/>
    <mergeCell ref="CV11:CY11"/>
    <mergeCell ref="F23:N25"/>
    <mergeCell ref="F50:N52"/>
    <mergeCell ref="DN15:DQ15"/>
    <mergeCell ref="J17:M17"/>
    <mergeCell ref="AB17:AE17"/>
    <mergeCell ref="AT17:AW17"/>
    <mergeCell ref="BL17:BO17"/>
    <mergeCell ref="CD17:CG17"/>
    <mergeCell ref="CV17:CY17"/>
    <mergeCell ref="J15:M15"/>
    <mergeCell ref="AB15:AE15"/>
    <mergeCell ref="AT15:AW15"/>
    <mergeCell ref="BL15:BO15"/>
    <mergeCell ref="CD15:CG15"/>
    <mergeCell ref="CV15:CY15"/>
  </mergeCells>
  <conditionalFormatting sqref="EM5:EM21">
    <cfRule type="top10" dxfId="26" priority="1" rank="3"/>
  </conditionalFormatting>
  <printOptions verticalCentered="1"/>
  <pageMargins left="0.74803149606299213" right="0.74803149606299213" top="1.1811023622047245" bottom="0.98425196850393704" header="0.51181102362204722" footer="0.51181102362204722"/>
  <pageSetup paperSize="9" scale="10" orientation="portrait" horizontalDpi="4294967294" verticalDpi="0" r:id="rId1"/>
  <headerFooter alignWithMargins="0">
    <oddHeader>&amp;C&amp;24&amp;K03+000
Results Belbintest&amp;R&amp;G</oddHeader>
    <oddFooter>&amp;R&amp;K03+000Printing date &amp;D</oddFooter>
  </headerFooter>
  <colBreaks count="13" manualBreakCount="13">
    <brk id="5" max="1048575" man="1"/>
    <brk id="18" max="1048575" man="1"/>
    <brk id="23" max="1048575" man="1"/>
    <brk id="41" max="1048575" man="1"/>
    <brk id="54" max="1048575" man="1"/>
    <brk id="59" max="1048575" man="1"/>
    <brk id="77" max="1048575" man="1"/>
    <brk id="90" max="1048575" man="1"/>
    <brk id="95" max="1048575" man="1"/>
    <brk id="108" max="1048575" man="1"/>
    <brk id="113" max="1048575" man="1"/>
    <brk id="126" max="1048575" man="1"/>
    <brk id="144" max="1048575" man="1"/>
  </colBreaks>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7">
    <pageSetUpPr fitToPage="1"/>
  </sheetPr>
  <dimension ref="A1:GL53"/>
  <sheetViews>
    <sheetView topLeftCell="CZ1" zoomScale="85" zoomScaleNormal="85" workbookViewId="0">
      <selection activeCell="DH21" sqref="DH21"/>
    </sheetView>
  </sheetViews>
  <sheetFormatPr defaultColWidth="9.109375" defaultRowHeight="17.399999999999999" x14ac:dyDescent="0.25"/>
  <cols>
    <col min="1" max="1" width="8.6640625" style="3" customWidth="1"/>
    <col min="2" max="2" width="59.33203125" style="1" bestFit="1" customWidth="1"/>
    <col min="3" max="3" width="2.33203125" style="1" customWidth="1"/>
    <col min="4" max="4" width="9.109375" style="2"/>
    <col min="5" max="18" width="9.109375" style="3"/>
    <col min="19" max="19" width="8.6640625" style="3" customWidth="1"/>
    <col min="20" max="20" width="59.33203125" style="3" customWidth="1"/>
    <col min="21" max="21" width="2.33203125" style="3" customWidth="1"/>
    <col min="22" max="35" width="9.109375" style="3"/>
    <col min="36" max="36" width="9.109375" style="3" customWidth="1"/>
    <col min="37" max="37" width="8.6640625" style="3" customWidth="1"/>
    <col min="38" max="38" width="59.33203125" style="3" customWidth="1"/>
    <col min="39" max="39" width="2.33203125" style="3" customWidth="1"/>
    <col min="40" max="53" width="9.109375" style="3"/>
    <col min="54" max="54" width="9.109375" style="3" customWidth="1"/>
    <col min="55" max="55" width="8.6640625" style="3" customWidth="1"/>
    <col min="56" max="56" width="59.33203125" style="3" customWidth="1"/>
    <col min="57" max="57" width="2.33203125" style="3" customWidth="1"/>
    <col min="58" max="71" width="9.109375" style="3"/>
    <col min="72" max="72" width="9.109375" style="3" customWidth="1"/>
    <col min="73" max="73" width="8.6640625" style="3" customWidth="1"/>
    <col min="74" max="74" width="59.33203125" style="3" customWidth="1"/>
    <col min="75" max="75" width="2.33203125" style="3" customWidth="1"/>
    <col min="76" max="89" width="9.109375" style="3"/>
    <col min="90" max="90" width="9.109375" style="3" customWidth="1"/>
    <col min="91" max="91" width="8.6640625" style="3" customWidth="1"/>
    <col min="92" max="92" width="59.33203125" style="3" customWidth="1"/>
    <col min="93" max="93" width="2.33203125" style="3" customWidth="1"/>
    <col min="94" max="107" width="9.109375" style="3"/>
    <col min="108" max="108" width="9.109375" style="3" customWidth="1"/>
    <col min="109" max="109" width="8.6640625" style="3" customWidth="1"/>
    <col min="110" max="110" width="59.33203125" style="3" customWidth="1"/>
    <col min="111" max="111" width="2.33203125" style="3" customWidth="1"/>
    <col min="112" max="127" width="9.109375" style="3"/>
    <col min="128" max="128" width="9.109375" style="3" customWidth="1"/>
    <col min="129" max="129" width="3.33203125" style="3" customWidth="1"/>
    <col min="130" max="138" width="4.77734375" style="3" customWidth="1"/>
    <col min="139" max="141" width="9.109375" style="3"/>
    <col min="142" max="142" width="14.6640625" style="3" customWidth="1"/>
    <col min="143" max="143" width="9.109375" style="3"/>
    <col min="144" max="144" width="6.6640625" style="3" customWidth="1"/>
    <col min="145" max="150" width="9.109375" style="3"/>
    <col min="151" max="151" width="2.33203125" style="3" customWidth="1"/>
    <col min="152" max="152" width="2.88671875" style="3" customWidth="1"/>
    <col min="153" max="257" width="9.109375" style="3"/>
    <col min="258" max="258" width="3" style="3" customWidth="1"/>
    <col min="259" max="259" width="59.33203125" style="3" bestFit="1" customWidth="1"/>
    <col min="260" max="260" width="2.33203125" style="3" customWidth="1"/>
    <col min="261" max="513" width="9.109375" style="3"/>
    <col min="514" max="514" width="3" style="3" customWidth="1"/>
    <col min="515" max="515" width="59.33203125" style="3" bestFit="1" customWidth="1"/>
    <col min="516" max="516" width="2.33203125" style="3" customWidth="1"/>
    <col min="517" max="769" width="9.109375" style="3"/>
    <col min="770" max="770" width="3" style="3" customWidth="1"/>
    <col min="771" max="771" width="59.33203125" style="3" bestFit="1" customWidth="1"/>
    <col min="772" max="772" width="2.33203125" style="3" customWidth="1"/>
    <col min="773" max="1025" width="9.109375" style="3"/>
    <col min="1026" max="1026" width="3" style="3" customWidth="1"/>
    <col min="1027" max="1027" width="59.33203125" style="3" bestFit="1" customWidth="1"/>
    <col min="1028" max="1028" width="2.33203125" style="3" customWidth="1"/>
    <col min="1029" max="1281" width="9.109375" style="3"/>
    <col min="1282" max="1282" width="3" style="3" customWidth="1"/>
    <col min="1283" max="1283" width="59.33203125" style="3" bestFit="1" customWidth="1"/>
    <col min="1284" max="1284" width="2.33203125" style="3" customWidth="1"/>
    <col min="1285" max="1537" width="9.109375" style="3"/>
    <col min="1538" max="1538" width="3" style="3" customWidth="1"/>
    <col min="1539" max="1539" width="59.33203125" style="3" bestFit="1" customWidth="1"/>
    <col min="1540" max="1540" width="2.33203125" style="3" customWidth="1"/>
    <col min="1541" max="1793" width="9.109375" style="3"/>
    <col min="1794" max="1794" width="3" style="3" customWidth="1"/>
    <col min="1795" max="1795" width="59.33203125" style="3" bestFit="1" customWidth="1"/>
    <col min="1796" max="1796" width="2.33203125" style="3" customWidth="1"/>
    <col min="1797" max="2049" width="9.109375" style="3"/>
    <col min="2050" max="2050" width="3" style="3" customWidth="1"/>
    <col min="2051" max="2051" width="59.33203125" style="3" bestFit="1" customWidth="1"/>
    <col min="2052" max="2052" width="2.33203125" style="3" customWidth="1"/>
    <col min="2053" max="2305" width="9.109375" style="3"/>
    <col min="2306" max="2306" width="3" style="3" customWidth="1"/>
    <col min="2307" max="2307" width="59.33203125" style="3" bestFit="1" customWidth="1"/>
    <col min="2308" max="2308" width="2.33203125" style="3" customWidth="1"/>
    <col min="2309" max="2561" width="9.109375" style="3"/>
    <col min="2562" max="2562" width="3" style="3" customWidth="1"/>
    <col min="2563" max="2563" width="59.33203125" style="3" bestFit="1" customWidth="1"/>
    <col min="2564" max="2564" width="2.33203125" style="3" customWidth="1"/>
    <col min="2565" max="2817" width="9.109375" style="3"/>
    <col min="2818" max="2818" width="3" style="3" customWidth="1"/>
    <col min="2819" max="2819" width="59.33203125" style="3" bestFit="1" customWidth="1"/>
    <col min="2820" max="2820" width="2.33203125" style="3" customWidth="1"/>
    <col min="2821" max="3073" width="9.109375" style="3"/>
    <col min="3074" max="3074" width="3" style="3" customWidth="1"/>
    <col min="3075" max="3075" width="59.33203125" style="3" bestFit="1" customWidth="1"/>
    <col min="3076" max="3076" width="2.33203125" style="3" customWidth="1"/>
    <col min="3077" max="3329" width="9.109375" style="3"/>
    <col min="3330" max="3330" width="3" style="3" customWidth="1"/>
    <col min="3331" max="3331" width="59.33203125" style="3" bestFit="1" customWidth="1"/>
    <col min="3332" max="3332" width="2.33203125" style="3" customWidth="1"/>
    <col min="3333" max="3585" width="9.109375" style="3"/>
    <col min="3586" max="3586" width="3" style="3" customWidth="1"/>
    <col min="3587" max="3587" width="59.33203125" style="3" bestFit="1" customWidth="1"/>
    <col min="3588" max="3588" width="2.33203125" style="3" customWidth="1"/>
    <col min="3589" max="3841" width="9.109375" style="3"/>
    <col min="3842" max="3842" width="3" style="3" customWidth="1"/>
    <col min="3843" max="3843" width="59.33203125" style="3" bestFit="1" customWidth="1"/>
    <col min="3844" max="3844" width="2.33203125" style="3" customWidth="1"/>
    <col min="3845" max="4097" width="9.109375" style="3"/>
    <col min="4098" max="4098" width="3" style="3" customWidth="1"/>
    <col min="4099" max="4099" width="59.33203125" style="3" bestFit="1" customWidth="1"/>
    <col min="4100" max="4100" width="2.33203125" style="3" customWidth="1"/>
    <col min="4101" max="4353" width="9.109375" style="3"/>
    <col min="4354" max="4354" width="3" style="3" customWidth="1"/>
    <col min="4355" max="4355" width="59.33203125" style="3" bestFit="1" customWidth="1"/>
    <col min="4356" max="4356" width="2.33203125" style="3" customWidth="1"/>
    <col min="4357" max="4609" width="9.109375" style="3"/>
    <col min="4610" max="4610" width="3" style="3" customWidth="1"/>
    <col min="4611" max="4611" width="59.33203125" style="3" bestFit="1" customWidth="1"/>
    <col min="4612" max="4612" width="2.33203125" style="3" customWidth="1"/>
    <col min="4613" max="4865" width="9.109375" style="3"/>
    <col min="4866" max="4866" width="3" style="3" customWidth="1"/>
    <col min="4867" max="4867" width="59.33203125" style="3" bestFit="1" customWidth="1"/>
    <col min="4868" max="4868" width="2.33203125" style="3" customWidth="1"/>
    <col min="4869" max="5121" width="9.109375" style="3"/>
    <col min="5122" max="5122" width="3" style="3" customWidth="1"/>
    <col min="5123" max="5123" width="59.33203125" style="3" bestFit="1" customWidth="1"/>
    <col min="5124" max="5124" width="2.33203125" style="3" customWidth="1"/>
    <col min="5125" max="5377" width="9.109375" style="3"/>
    <col min="5378" max="5378" width="3" style="3" customWidth="1"/>
    <col min="5379" max="5379" width="59.33203125" style="3" bestFit="1" customWidth="1"/>
    <col min="5380" max="5380" width="2.33203125" style="3" customWidth="1"/>
    <col min="5381" max="5633" width="9.109375" style="3"/>
    <col min="5634" max="5634" width="3" style="3" customWidth="1"/>
    <col min="5635" max="5635" width="59.33203125" style="3" bestFit="1" customWidth="1"/>
    <col min="5636" max="5636" width="2.33203125" style="3" customWidth="1"/>
    <col min="5637" max="5889" width="9.109375" style="3"/>
    <col min="5890" max="5890" width="3" style="3" customWidth="1"/>
    <col min="5891" max="5891" width="59.33203125" style="3" bestFit="1" customWidth="1"/>
    <col min="5892" max="5892" width="2.33203125" style="3" customWidth="1"/>
    <col min="5893" max="6145" width="9.109375" style="3"/>
    <col min="6146" max="6146" width="3" style="3" customWidth="1"/>
    <col min="6147" max="6147" width="59.33203125" style="3" bestFit="1" customWidth="1"/>
    <col min="6148" max="6148" width="2.33203125" style="3" customWidth="1"/>
    <col min="6149" max="6401" width="9.109375" style="3"/>
    <col min="6402" max="6402" width="3" style="3" customWidth="1"/>
    <col min="6403" max="6403" width="59.33203125" style="3" bestFit="1" customWidth="1"/>
    <col min="6404" max="6404" width="2.33203125" style="3" customWidth="1"/>
    <col min="6405" max="6657" width="9.109375" style="3"/>
    <col min="6658" max="6658" width="3" style="3" customWidth="1"/>
    <col min="6659" max="6659" width="59.33203125" style="3" bestFit="1" customWidth="1"/>
    <col min="6660" max="6660" width="2.33203125" style="3" customWidth="1"/>
    <col min="6661" max="6913" width="9.109375" style="3"/>
    <col min="6914" max="6914" width="3" style="3" customWidth="1"/>
    <col min="6915" max="6915" width="59.33203125" style="3" bestFit="1" customWidth="1"/>
    <col min="6916" max="6916" width="2.33203125" style="3" customWidth="1"/>
    <col min="6917" max="7169" width="9.109375" style="3"/>
    <col min="7170" max="7170" width="3" style="3" customWidth="1"/>
    <col min="7171" max="7171" width="59.33203125" style="3" bestFit="1" customWidth="1"/>
    <col min="7172" max="7172" width="2.33203125" style="3" customWidth="1"/>
    <col min="7173" max="7425" width="9.109375" style="3"/>
    <col min="7426" max="7426" width="3" style="3" customWidth="1"/>
    <col min="7427" max="7427" width="59.33203125" style="3" bestFit="1" customWidth="1"/>
    <col min="7428" max="7428" width="2.33203125" style="3" customWidth="1"/>
    <col min="7429" max="7681" width="9.109375" style="3"/>
    <col min="7682" max="7682" width="3" style="3" customWidth="1"/>
    <col min="7683" max="7683" width="59.33203125" style="3" bestFit="1" customWidth="1"/>
    <col min="7684" max="7684" width="2.33203125" style="3" customWidth="1"/>
    <col min="7685" max="7937" width="9.109375" style="3"/>
    <col min="7938" max="7938" width="3" style="3" customWidth="1"/>
    <col min="7939" max="7939" width="59.33203125" style="3" bestFit="1" customWidth="1"/>
    <col min="7940" max="7940" width="2.33203125" style="3" customWidth="1"/>
    <col min="7941" max="8193" width="9.109375" style="3"/>
    <col min="8194" max="8194" width="3" style="3" customWidth="1"/>
    <col min="8195" max="8195" width="59.33203125" style="3" bestFit="1" customWidth="1"/>
    <col min="8196" max="8196" width="2.33203125" style="3" customWidth="1"/>
    <col min="8197" max="8449" width="9.109375" style="3"/>
    <col min="8450" max="8450" width="3" style="3" customWidth="1"/>
    <col min="8451" max="8451" width="59.33203125" style="3" bestFit="1" customWidth="1"/>
    <col min="8452" max="8452" width="2.33203125" style="3" customWidth="1"/>
    <col min="8453" max="8705" width="9.109375" style="3"/>
    <col min="8706" max="8706" width="3" style="3" customWidth="1"/>
    <col min="8707" max="8707" width="59.33203125" style="3" bestFit="1" customWidth="1"/>
    <col min="8708" max="8708" width="2.33203125" style="3" customWidth="1"/>
    <col min="8709" max="8961" width="9.109375" style="3"/>
    <col min="8962" max="8962" width="3" style="3" customWidth="1"/>
    <col min="8963" max="8963" width="59.33203125" style="3" bestFit="1" customWidth="1"/>
    <col min="8964" max="8964" width="2.33203125" style="3" customWidth="1"/>
    <col min="8965" max="9217" width="9.109375" style="3"/>
    <col min="9218" max="9218" width="3" style="3" customWidth="1"/>
    <col min="9219" max="9219" width="59.33203125" style="3" bestFit="1" customWidth="1"/>
    <col min="9220" max="9220" width="2.33203125" style="3" customWidth="1"/>
    <col min="9221" max="9473" width="9.109375" style="3"/>
    <col min="9474" max="9474" width="3" style="3" customWidth="1"/>
    <col min="9475" max="9475" width="59.33203125" style="3" bestFit="1" customWidth="1"/>
    <col min="9476" max="9476" width="2.33203125" style="3" customWidth="1"/>
    <col min="9477" max="9729" width="9.109375" style="3"/>
    <col min="9730" max="9730" width="3" style="3" customWidth="1"/>
    <col min="9731" max="9731" width="59.33203125" style="3" bestFit="1" customWidth="1"/>
    <col min="9732" max="9732" width="2.33203125" style="3" customWidth="1"/>
    <col min="9733" max="9985" width="9.109375" style="3"/>
    <col min="9986" max="9986" width="3" style="3" customWidth="1"/>
    <col min="9987" max="9987" width="59.33203125" style="3" bestFit="1" customWidth="1"/>
    <col min="9988" max="9988" width="2.33203125" style="3" customWidth="1"/>
    <col min="9989" max="10241" width="9.109375" style="3"/>
    <col min="10242" max="10242" width="3" style="3" customWidth="1"/>
    <col min="10243" max="10243" width="59.33203125" style="3" bestFit="1" customWidth="1"/>
    <col min="10244" max="10244" width="2.33203125" style="3" customWidth="1"/>
    <col min="10245" max="10497" width="9.109375" style="3"/>
    <col min="10498" max="10498" width="3" style="3" customWidth="1"/>
    <col min="10499" max="10499" width="59.33203125" style="3" bestFit="1" customWidth="1"/>
    <col min="10500" max="10500" width="2.33203125" style="3" customWidth="1"/>
    <col min="10501" max="10753" width="9.109375" style="3"/>
    <col min="10754" max="10754" width="3" style="3" customWidth="1"/>
    <col min="10755" max="10755" width="59.33203125" style="3" bestFit="1" customWidth="1"/>
    <col min="10756" max="10756" width="2.33203125" style="3" customWidth="1"/>
    <col min="10757" max="11009" width="9.109375" style="3"/>
    <col min="11010" max="11010" width="3" style="3" customWidth="1"/>
    <col min="11011" max="11011" width="59.33203125" style="3" bestFit="1" customWidth="1"/>
    <col min="11012" max="11012" width="2.33203125" style="3" customWidth="1"/>
    <col min="11013" max="11265" width="9.109375" style="3"/>
    <col min="11266" max="11266" width="3" style="3" customWidth="1"/>
    <col min="11267" max="11267" width="59.33203125" style="3" bestFit="1" customWidth="1"/>
    <col min="11268" max="11268" width="2.33203125" style="3" customWidth="1"/>
    <col min="11269" max="11521" width="9.109375" style="3"/>
    <col min="11522" max="11522" width="3" style="3" customWidth="1"/>
    <col min="11523" max="11523" width="59.33203125" style="3" bestFit="1" customWidth="1"/>
    <col min="11524" max="11524" width="2.33203125" style="3" customWidth="1"/>
    <col min="11525" max="11777" width="9.109375" style="3"/>
    <col min="11778" max="11778" width="3" style="3" customWidth="1"/>
    <col min="11779" max="11779" width="59.33203125" style="3" bestFit="1" customWidth="1"/>
    <col min="11780" max="11780" width="2.33203125" style="3" customWidth="1"/>
    <col min="11781" max="12033" width="9.109375" style="3"/>
    <col min="12034" max="12034" width="3" style="3" customWidth="1"/>
    <col min="12035" max="12035" width="59.33203125" style="3" bestFit="1" customWidth="1"/>
    <col min="12036" max="12036" width="2.33203125" style="3" customWidth="1"/>
    <col min="12037" max="12289" width="9.109375" style="3"/>
    <col min="12290" max="12290" width="3" style="3" customWidth="1"/>
    <col min="12291" max="12291" width="59.33203125" style="3" bestFit="1" customWidth="1"/>
    <col min="12292" max="12292" width="2.33203125" style="3" customWidth="1"/>
    <col min="12293" max="12545" width="9.109375" style="3"/>
    <col min="12546" max="12546" width="3" style="3" customWidth="1"/>
    <col min="12547" max="12547" width="59.33203125" style="3" bestFit="1" customWidth="1"/>
    <col min="12548" max="12548" width="2.33203125" style="3" customWidth="1"/>
    <col min="12549" max="12801" width="9.109375" style="3"/>
    <col min="12802" max="12802" width="3" style="3" customWidth="1"/>
    <col min="12803" max="12803" width="59.33203125" style="3" bestFit="1" customWidth="1"/>
    <col min="12804" max="12804" width="2.33203125" style="3" customWidth="1"/>
    <col min="12805" max="13057" width="9.109375" style="3"/>
    <col min="13058" max="13058" width="3" style="3" customWidth="1"/>
    <col min="13059" max="13059" width="59.33203125" style="3" bestFit="1" customWidth="1"/>
    <col min="13060" max="13060" width="2.33203125" style="3" customWidth="1"/>
    <col min="13061" max="13313" width="9.109375" style="3"/>
    <col min="13314" max="13314" width="3" style="3" customWidth="1"/>
    <col min="13315" max="13315" width="59.33203125" style="3" bestFit="1" customWidth="1"/>
    <col min="13316" max="13316" width="2.33203125" style="3" customWidth="1"/>
    <col min="13317" max="13569" width="9.109375" style="3"/>
    <col min="13570" max="13570" width="3" style="3" customWidth="1"/>
    <col min="13571" max="13571" width="59.33203125" style="3" bestFit="1" customWidth="1"/>
    <col min="13572" max="13572" width="2.33203125" style="3" customWidth="1"/>
    <col min="13573" max="13825" width="9.109375" style="3"/>
    <col min="13826" max="13826" width="3" style="3" customWidth="1"/>
    <col min="13827" max="13827" width="59.33203125" style="3" bestFit="1" customWidth="1"/>
    <col min="13828" max="13828" width="2.33203125" style="3" customWidth="1"/>
    <col min="13829" max="14081" width="9.109375" style="3"/>
    <col min="14082" max="14082" width="3" style="3" customWidth="1"/>
    <col min="14083" max="14083" width="59.33203125" style="3" bestFit="1" customWidth="1"/>
    <col min="14084" max="14084" width="2.33203125" style="3" customWidth="1"/>
    <col min="14085" max="14337" width="9.109375" style="3"/>
    <col min="14338" max="14338" width="3" style="3" customWidth="1"/>
    <col min="14339" max="14339" width="59.33203125" style="3" bestFit="1" customWidth="1"/>
    <col min="14340" max="14340" width="2.33203125" style="3" customWidth="1"/>
    <col min="14341" max="14593" width="9.109375" style="3"/>
    <col min="14594" max="14594" width="3" style="3" customWidth="1"/>
    <col min="14595" max="14595" width="59.33203125" style="3" bestFit="1" customWidth="1"/>
    <col min="14596" max="14596" width="2.33203125" style="3" customWidth="1"/>
    <col min="14597" max="14849" width="9.109375" style="3"/>
    <col min="14850" max="14850" width="3" style="3" customWidth="1"/>
    <col min="14851" max="14851" width="59.33203125" style="3" bestFit="1" customWidth="1"/>
    <col min="14852" max="14852" width="2.33203125" style="3" customWidth="1"/>
    <col min="14853" max="15105" width="9.109375" style="3"/>
    <col min="15106" max="15106" width="3" style="3" customWidth="1"/>
    <col min="15107" max="15107" width="59.33203125" style="3" bestFit="1" customWidth="1"/>
    <col min="15108" max="15108" width="2.33203125" style="3" customWidth="1"/>
    <col min="15109" max="15361" width="9.109375" style="3"/>
    <col min="15362" max="15362" width="3" style="3" customWidth="1"/>
    <col min="15363" max="15363" width="59.33203125" style="3" bestFit="1" customWidth="1"/>
    <col min="15364" max="15364" width="2.33203125" style="3" customWidth="1"/>
    <col min="15365" max="15617" width="9.109375" style="3"/>
    <col min="15618" max="15618" width="3" style="3" customWidth="1"/>
    <col min="15619" max="15619" width="59.33203125" style="3" bestFit="1" customWidth="1"/>
    <col min="15620" max="15620" width="2.33203125" style="3" customWidth="1"/>
    <col min="15621" max="15873" width="9.109375" style="3"/>
    <col min="15874" max="15874" width="3" style="3" customWidth="1"/>
    <col min="15875" max="15875" width="59.33203125" style="3" bestFit="1" customWidth="1"/>
    <col min="15876" max="15876" width="2.33203125" style="3" customWidth="1"/>
    <col min="15877" max="16129" width="9.109375" style="3"/>
    <col min="16130" max="16130" width="3" style="3" customWidth="1"/>
    <col min="16131" max="16131" width="59.33203125" style="3" bestFit="1" customWidth="1"/>
    <col min="16132" max="16132" width="2.33203125" style="3" customWidth="1"/>
    <col min="16133" max="16384" width="9.109375" style="3"/>
  </cols>
  <sheetData>
    <row r="1" spans="1:194" x14ac:dyDescent="0.3">
      <c r="T1" s="1"/>
      <c r="U1" s="1"/>
      <c r="V1" s="2"/>
      <c r="AJ1" s="4"/>
      <c r="AK1" s="4"/>
      <c r="AL1" s="5"/>
      <c r="AM1" s="5"/>
      <c r="AN1" s="6"/>
      <c r="AO1" s="4"/>
      <c r="AP1" s="4"/>
      <c r="AQ1" s="4"/>
      <c r="AR1" s="4"/>
      <c r="AS1" s="4"/>
      <c r="AT1" s="4"/>
      <c r="AU1" s="4"/>
      <c r="AV1" s="4"/>
      <c r="AW1" s="4"/>
      <c r="AX1" s="4"/>
      <c r="AY1" s="4"/>
      <c r="BB1" s="4"/>
      <c r="BC1" s="4"/>
      <c r="BD1" s="5"/>
      <c r="BE1" s="5"/>
      <c r="BF1" s="6"/>
      <c r="BG1" s="4"/>
      <c r="BH1" s="4"/>
      <c r="BI1" s="4"/>
      <c r="BJ1" s="4"/>
      <c r="BK1" s="4"/>
      <c r="BL1" s="4"/>
      <c r="BM1" s="4"/>
      <c r="BN1" s="4"/>
      <c r="BO1" s="4"/>
      <c r="BP1" s="4"/>
      <c r="BQ1" s="4"/>
      <c r="BT1" s="4"/>
      <c r="BU1" s="4"/>
      <c r="BV1" s="5"/>
      <c r="BW1" s="5"/>
      <c r="BX1" s="6"/>
      <c r="BY1" s="4"/>
      <c r="BZ1" s="4"/>
      <c r="CA1" s="4"/>
      <c r="CB1" s="4"/>
      <c r="CC1" s="4"/>
      <c r="CD1" s="4"/>
      <c r="CE1" s="4"/>
      <c r="CF1" s="4"/>
      <c r="CG1" s="4"/>
      <c r="CH1" s="4"/>
      <c r="CI1" s="4"/>
      <c r="CL1" s="4"/>
      <c r="CM1" s="4"/>
      <c r="CN1" s="5"/>
      <c r="CO1" s="5"/>
      <c r="CP1" s="6"/>
      <c r="CQ1" s="4"/>
      <c r="CR1" s="4"/>
      <c r="CS1" s="4"/>
      <c r="CT1" s="4"/>
      <c r="CU1" s="4"/>
      <c r="CV1" s="4"/>
      <c r="CW1" s="4"/>
      <c r="CX1" s="4"/>
      <c r="CY1" s="4"/>
      <c r="CZ1" s="4"/>
      <c r="DA1" s="4"/>
      <c r="DD1" s="4"/>
      <c r="DE1" s="4"/>
      <c r="DF1" s="5"/>
      <c r="DG1" s="5"/>
      <c r="DH1" s="6"/>
      <c r="DI1" s="4"/>
      <c r="DJ1" s="4"/>
      <c r="DK1" s="4"/>
      <c r="DL1" s="4"/>
      <c r="DM1" s="4"/>
      <c r="DN1" s="4"/>
      <c r="DO1" s="4"/>
      <c r="DP1" s="4"/>
      <c r="DQ1" s="4"/>
      <c r="DR1" s="4"/>
      <c r="DS1" s="4"/>
      <c r="DW1" s="24"/>
      <c r="DX1" s="57"/>
      <c r="DY1" s="57"/>
      <c r="DZ1" s="57"/>
      <c r="EA1" s="57"/>
      <c r="EB1" s="57"/>
      <c r="EC1" s="57"/>
      <c r="ED1" s="57"/>
      <c r="EE1" s="57"/>
      <c r="EF1" s="57"/>
      <c r="EG1" s="57"/>
      <c r="EH1" s="57"/>
      <c r="EI1" s="57"/>
      <c r="EJ1" s="58"/>
      <c r="EK1" s="58"/>
      <c r="EL1" s="58"/>
      <c r="EM1" s="58"/>
      <c r="EN1" s="58"/>
    </row>
    <row r="2" spans="1:194" ht="17.399999999999999" customHeight="1" x14ac:dyDescent="0.3">
      <c r="S2" s="4"/>
      <c r="T2" s="5"/>
      <c r="U2" s="5"/>
      <c r="V2" s="6"/>
      <c r="W2" s="4"/>
      <c r="X2" s="4"/>
      <c r="Y2" s="4"/>
      <c r="Z2" s="4"/>
      <c r="AA2" s="4"/>
      <c r="AB2" s="4"/>
      <c r="AC2" s="4"/>
      <c r="AD2" s="4"/>
      <c r="AE2" s="4"/>
      <c r="AF2" s="4"/>
      <c r="AG2" s="4"/>
      <c r="AJ2" s="4"/>
      <c r="AK2" s="4"/>
      <c r="AL2" s="5"/>
      <c r="AM2" s="5"/>
      <c r="AN2" s="6"/>
      <c r="AO2" s="4"/>
      <c r="AP2" s="4"/>
      <c r="AQ2" s="4"/>
      <c r="AR2" s="4"/>
      <c r="AS2" s="4"/>
      <c r="AT2" s="4"/>
      <c r="AU2" s="4"/>
      <c r="AV2" s="4"/>
      <c r="AW2" s="4"/>
      <c r="AX2" s="4"/>
      <c r="AY2" s="4"/>
      <c r="BB2" s="4"/>
      <c r="BC2" s="4"/>
      <c r="BD2" s="5"/>
      <c r="BE2" s="5"/>
      <c r="BF2" s="6"/>
      <c r="BG2" s="4"/>
      <c r="BH2" s="4"/>
      <c r="BI2" s="4"/>
      <c r="BJ2" s="4"/>
      <c r="BK2" s="4"/>
      <c r="BL2" s="4"/>
      <c r="BM2" s="4"/>
      <c r="BN2" s="4"/>
      <c r="BO2" s="4"/>
      <c r="BP2" s="4"/>
      <c r="BQ2" s="4"/>
      <c r="BT2" s="4"/>
      <c r="BU2" s="4"/>
      <c r="BV2" s="5"/>
      <c r="BW2" s="5"/>
      <c r="BX2" s="6"/>
      <c r="BY2" s="4"/>
      <c r="BZ2" s="4"/>
      <c r="CA2" s="4"/>
      <c r="CB2" s="4"/>
      <c r="CC2" s="4"/>
      <c r="CD2" s="4"/>
      <c r="CE2" s="4"/>
      <c r="CF2" s="4"/>
      <c r="CG2" s="4"/>
      <c r="CH2" s="4"/>
      <c r="CI2" s="4"/>
      <c r="CL2" s="4"/>
      <c r="CM2" s="4"/>
      <c r="CN2" s="5"/>
      <c r="CO2" s="5"/>
      <c r="CP2" s="6"/>
      <c r="CQ2" s="4"/>
      <c r="CR2" s="4"/>
      <c r="CS2" s="4"/>
      <c r="CT2" s="4"/>
      <c r="CU2" s="4"/>
      <c r="CV2" s="4"/>
      <c r="CW2" s="4"/>
      <c r="CX2" s="4"/>
      <c r="CY2" s="4"/>
      <c r="CZ2" s="4"/>
      <c r="DA2" s="4"/>
      <c r="DD2" s="4"/>
      <c r="DE2" s="4"/>
      <c r="DF2" s="5"/>
      <c r="DG2" s="5"/>
      <c r="DH2" s="6"/>
      <c r="DI2" s="4"/>
      <c r="DJ2" s="4"/>
      <c r="DK2" s="4"/>
      <c r="DL2" s="4"/>
      <c r="DM2" s="4"/>
      <c r="DN2" s="4"/>
      <c r="DO2" s="4"/>
      <c r="DP2" s="4"/>
      <c r="DQ2" s="4"/>
      <c r="DR2" s="4"/>
      <c r="DS2" s="4"/>
      <c r="DW2" s="27"/>
      <c r="DX2" s="59"/>
      <c r="DY2" s="59"/>
      <c r="DZ2" s="59"/>
      <c r="EA2" s="59"/>
      <c r="EB2" s="59"/>
      <c r="EC2" s="59"/>
      <c r="ED2" s="59"/>
      <c r="EE2" s="59"/>
      <c r="EF2" s="59"/>
      <c r="EG2" s="59"/>
      <c r="EH2" s="59"/>
      <c r="EI2" s="59"/>
      <c r="EJ2" s="58"/>
      <c r="EK2" s="58"/>
      <c r="EL2" s="58"/>
      <c r="EM2" s="58"/>
      <c r="EN2" s="58"/>
    </row>
    <row r="3" spans="1:194" s="9" customFormat="1" ht="34.950000000000003" customHeight="1" x14ac:dyDescent="0.3">
      <c r="A3" s="53" t="s">
        <v>154</v>
      </c>
      <c r="B3" s="7" t="s">
        <v>0</v>
      </c>
      <c r="C3" s="8"/>
      <c r="D3" s="2"/>
      <c r="S3" s="53" t="s">
        <v>155</v>
      </c>
      <c r="T3" s="140" t="s">
        <v>12</v>
      </c>
      <c r="U3" s="140"/>
      <c r="V3" s="140"/>
      <c r="W3" s="140"/>
      <c r="X3" s="10"/>
      <c r="Y3" s="10"/>
      <c r="Z3" s="10"/>
      <c r="AA3" s="10"/>
      <c r="AB3" s="10"/>
      <c r="AC3" s="10"/>
      <c r="AD3" s="10"/>
      <c r="AE3" s="10"/>
      <c r="AF3" s="10"/>
      <c r="AG3" s="10"/>
      <c r="AJ3" s="10"/>
      <c r="AK3" s="53" t="s">
        <v>156</v>
      </c>
      <c r="AL3" s="11" t="s">
        <v>22</v>
      </c>
      <c r="AM3" s="12"/>
      <c r="AN3" s="6"/>
      <c r="AO3" s="10"/>
      <c r="AP3" s="10"/>
      <c r="AQ3" s="10"/>
      <c r="AR3" s="10"/>
      <c r="AS3" s="10"/>
      <c r="AT3" s="10"/>
      <c r="AU3" s="10"/>
      <c r="AV3" s="10"/>
      <c r="AW3" s="10"/>
      <c r="AX3" s="10"/>
      <c r="AY3" s="10"/>
      <c r="BB3" s="10"/>
      <c r="BC3" s="53" t="s">
        <v>157</v>
      </c>
      <c r="BD3" s="141" t="s">
        <v>32</v>
      </c>
      <c r="BE3" s="141"/>
      <c r="BF3" s="141"/>
      <c r="BG3" s="10"/>
      <c r="BH3" s="10"/>
      <c r="BI3" s="10"/>
      <c r="BJ3" s="10"/>
      <c r="BK3" s="10"/>
      <c r="BL3" s="10"/>
      <c r="BM3" s="10"/>
      <c r="BN3" s="10"/>
      <c r="BO3" s="10"/>
      <c r="BP3" s="10"/>
      <c r="BQ3" s="10"/>
      <c r="BT3" s="13"/>
      <c r="BU3" s="53" t="s">
        <v>158</v>
      </c>
      <c r="BV3" s="11" t="s">
        <v>42</v>
      </c>
      <c r="BW3" s="14"/>
      <c r="BX3" s="6"/>
      <c r="BY3" s="13"/>
      <c r="BZ3" s="13"/>
      <c r="CA3" s="13"/>
      <c r="CB3" s="13"/>
      <c r="CC3" s="13"/>
      <c r="CD3" s="13"/>
      <c r="CE3" s="13"/>
      <c r="CF3" s="13"/>
      <c r="CG3" s="13"/>
      <c r="CH3" s="13"/>
      <c r="CI3" s="13"/>
      <c r="CL3" s="13"/>
      <c r="CM3" s="53" t="s">
        <v>159</v>
      </c>
      <c r="CN3" s="141" t="s">
        <v>52</v>
      </c>
      <c r="CO3" s="141"/>
      <c r="CP3" s="141"/>
      <c r="CQ3" s="141"/>
      <c r="CR3" s="11"/>
      <c r="CS3" s="11"/>
      <c r="CT3" s="11"/>
      <c r="CU3" s="13"/>
      <c r="CV3" s="13"/>
      <c r="CW3" s="13"/>
      <c r="CX3" s="13"/>
      <c r="CY3" s="13"/>
      <c r="CZ3" s="13"/>
      <c r="DA3" s="13"/>
      <c r="DD3" s="13"/>
      <c r="DE3" s="53" t="s">
        <v>160</v>
      </c>
      <c r="DF3" s="141" t="s">
        <v>62</v>
      </c>
      <c r="DG3" s="141"/>
      <c r="DH3" s="141"/>
      <c r="DI3" s="141"/>
      <c r="DJ3" s="11"/>
      <c r="DK3" s="11"/>
      <c r="DL3" s="13"/>
      <c r="DM3" s="13"/>
      <c r="DN3" s="13"/>
      <c r="DO3" s="13"/>
      <c r="DP3" s="13"/>
      <c r="DQ3" s="13"/>
      <c r="DR3" s="13"/>
      <c r="DS3" s="13"/>
      <c r="DW3" s="27"/>
      <c r="DX3" s="142" t="str">
        <f>CONCATENATE("Results Belbin test per section of ",Start!C7)</f>
        <v xml:space="preserve">Results Belbin test per section of </v>
      </c>
      <c r="DY3" s="142"/>
      <c r="DZ3" s="142"/>
      <c r="EA3" s="142"/>
      <c r="EB3" s="142"/>
      <c r="EC3" s="142"/>
      <c r="ED3" s="142"/>
      <c r="EE3" s="142"/>
      <c r="EF3" s="142"/>
      <c r="EG3" s="142"/>
      <c r="EH3" s="142"/>
      <c r="EI3" s="59"/>
      <c r="EJ3" s="60"/>
      <c r="EK3" s="60"/>
      <c r="EL3" s="60"/>
      <c r="EM3" s="60"/>
      <c r="EN3" s="60"/>
    </row>
    <row r="4" spans="1:194" ht="18" thickBot="1" x14ac:dyDescent="0.35">
      <c r="S4" s="4"/>
      <c r="T4" s="15"/>
      <c r="U4" s="15"/>
      <c r="V4" s="6"/>
      <c r="W4" s="4"/>
      <c r="X4" s="4"/>
      <c r="Y4" s="4"/>
      <c r="Z4" s="4"/>
      <c r="AA4" s="4"/>
      <c r="AB4" s="4"/>
      <c r="AC4" s="4"/>
      <c r="AD4" s="4"/>
      <c r="AE4" s="4"/>
      <c r="AF4" s="4"/>
      <c r="AG4" s="4"/>
      <c r="AJ4" s="4"/>
      <c r="AK4" s="4"/>
      <c r="AL4" s="15"/>
      <c r="AM4" s="15"/>
      <c r="AN4" s="6"/>
      <c r="AO4" s="4"/>
      <c r="AP4" s="4"/>
      <c r="AQ4" s="4"/>
      <c r="AR4" s="4"/>
      <c r="AS4" s="4"/>
      <c r="AT4" s="4"/>
      <c r="AU4" s="4"/>
      <c r="AV4" s="4"/>
      <c r="AW4" s="4"/>
      <c r="AX4" s="4"/>
      <c r="AY4" s="4"/>
      <c r="BB4" s="4"/>
      <c r="BC4" s="4"/>
      <c r="BD4" s="15"/>
      <c r="BE4" s="15"/>
      <c r="BF4" s="6"/>
      <c r="BG4" s="4"/>
      <c r="BH4" s="4"/>
      <c r="BI4" s="4"/>
      <c r="BJ4" s="4"/>
      <c r="BK4" s="4"/>
      <c r="BL4" s="4"/>
      <c r="BM4" s="4"/>
      <c r="BN4" s="4"/>
      <c r="BO4" s="4"/>
      <c r="BP4" s="4"/>
      <c r="BQ4" s="4"/>
      <c r="BT4" s="4"/>
      <c r="BU4" s="4"/>
      <c r="BV4" s="15"/>
      <c r="BW4" s="15"/>
      <c r="BX4" s="6"/>
      <c r="BY4" s="4"/>
      <c r="BZ4" s="4"/>
      <c r="CA4" s="4"/>
      <c r="CB4" s="4"/>
      <c r="CC4" s="4"/>
      <c r="CD4" s="4"/>
      <c r="CE4" s="4"/>
      <c r="CF4" s="4"/>
      <c r="CG4" s="4"/>
      <c r="CH4" s="4"/>
      <c r="CI4" s="4"/>
      <c r="CL4" s="4"/>
      <c r="CM4" s="4"/>
      <c r="CN4" s="15"/>
      <c r="CO4" s="15"/>
      <c r="CP4" s="6"/>
      <c r="CQ4" s="4"/>
      <c r="CR4" s="4"/>
      <c r="CS4" s="4"/>
      <c r="CT4" s="4"/>
      <c r="CU4" s="4"/>
      <c r="CV4" s="4"/>
      <c r="CW4" s="4"/>
      <c r="CX4" s="4"/>
      <c r="CY4" s="4"/>
      <c r="CZ4" s="4"/>
      <c r="DA4" s="4"/>
      <c r="DD4" s="4"/>
      <c r="DE4" s="4"/>
      <c r="DF4" s="15"/>
      <c r="DG4" s="15"/>
      <c r="DH4" s="6"/>
      <c r="DI4" s="4"/>
      <c r="DJ4" s="4"/>
      <c r="DK4" s="4"/>
      <c r="DL4" s="4"/>
      <c r="DM4" s="4"/>
      <c r="DN4" s="4"/>
      <c r="DO4" s="4"/>
      <c r="DP4" s="4"/>
      <c r="DQ4" s="4"/>
      <c r="DR4" s="4"/>
      <c r="DS4" s="4"/>
      <c r="DW4" s="27"/>
      <c r="DX4" s="137" t="s">
        <v>72</v>
      </c>
      <c r="DY4" s="138"/>
      <c r="DZ4" s="137" t="s">
        <v>73</v>
      </c>
      <c r="EA4" s="139"/>
      <c r="EB4" s="139"/>
      <c r="EC4" s="139"/>
      <c r="ED4" s="139"/>
      <c r="EE4" s="139"/>
      <c r="EF4" s="139"/>
      <c r="EG4" s="139"/>
      <c r="EH4" s="138"/>
      <c r="EI4" s="59"/>
      <c r="EJ4" s="59"/>
      <c r="EK4" s="130" t="s">
        <v>81</v>
      </c>
      <c r="EL4" s="131"/>
      <c r="EM4" s="131"/>
      <c r="EN4" s="132"/>
      <c r="EU4" s="28"/>
      <c r="EV4" s="28">
        <f>Start!C7</f>
        <v>0</v>
      </c>
    </row>
    <row r="5" spans="1:194" s="17" customFormat="1" ht="31.95" customHeight="1" thickTop="1" thickBot="1" x14ac:dyDescent="0.35">
      <c r="B5" s="16" t="s">
        <v>1</v>
      </c>
      <c r="C5" s="16"/>
      <c r="D5" s="41"/>
      <c r="F5" s="133" t="s">
        <v>2</v>
      </c>
      <c r="G5" s="134"/>
      <c r="H5" s="134"/>
      <c r="I5" s="134"/>
      <c r="J5" s="134"/>
      <c r="K5" s="134"/>
      <c r="L5" s="134"/>
      <c r="M5" s="134"/>
      <c r="N5" s="134"/>
      <c r="S5" s="18"/>
      <c r="T5" s="19" t="s">
        <v>13</v>
      </c>
      <c r="U5" s="19"/>
      <c r="V5" s="41"/>
      <c r="W5" s="18"/>
      <c r="X5" s="135" t="s">
        <v>2</v>
      </c>
      <c r="Y5" s="136"/>
      <c r="Z5" s="136"/>
      <c r="AA5" s="136"/>
      <c r="AB5" s="136"/>
      <c r="AC5" s="136"/>
      <c r="AD5" s="136"/>
      <c r="AE5" s="136"/>
      <c r="AF5" s="136"/>
      <c r="AG5" s="18"/>
      <c r="AJ5" s="18"/>
      <c r="AK5" s="18"/>
      <c r="AL5" s="19" t="s">
        <v>23</v>
      </c>
      <c r="AM5" s="19"/>
      <c r="AN5" s="41"/>
      <c r="AO5" s="18"/>
      <c r="AP5" s="135" t="s">
        <v>2</v>
      </c>
      <c r="AQ5" s="136"/>
      <c r="AR5" s="136"/>
      <c r="AS5" s="136"/>
      <c r="AT5" s="136"/>
      <c r="AU5" s="136"/>
      <c r="AV5" s="136"/>
      <c r="AW5" s="136"/>
      <c r="AX5" s="136"/>
      <c r="AY5" s="18"/>
      <c r="BB5" s="18"/>
      <c r="BC5" s="18"/>
      <c r="BD5" s="19" t="s">
        <v>33</v>
      </c>
      <c r="BE5" s="19"/>
      <c r="BF5" s="41"/>
      <c r="BG5" s="18"/>
      <c r="BH5" s="135" t="s">
        <v>2</v>
      </c>
      <c r="BI5" s="136"/>
      <c r="BJ5" s="136"/>
      <c r="BK5" s="136"/>
      <c r="BL5" s="136"/>
      <c r="BM5" s="136"/>
      <c r="BN5" s="136"/>
      <c r="BO5" s="136"/>
      <c r="BP5" s="136"/>
      <c r="BQ5" s="18"/>
      <c r="BT5" s="18"/>
      <c r="BU5" s="18"/>
      <c r="BV5" s="19" t="s">
        <v>43</v>
      </c>
      <c r="BW5" s="19"/>
      <c r="BX5" s="41"/>
      <c r="BY5" s="18"/>
      <c r="BZ5" s="135" t="s">
        <v>2</v>
      </c>
      <c r="CA5" s="136"/>
      <c r="CB5" s="136"/>
      <c r="CC5" s="136"/>
      <c r="CD5" s="136"/>
      <c r="CE5" s="136"/>
      <c r="CF5" s="136"/>
      <c r="CG5" s="136"/>
      <c r="CH5" s="136"/>
      <c r="CI5" s="18"/>
      <c r="CL5" s="18"/>
      <c r="CM5" s="18"/>
      <c r="CN5" s="19" t="s">
        <v>53</v>
      </c>
      <c r="CO5" s="19"/>
      <c r="CP5" s="41"/>
      <c r="CQ5" s="18"/>
      <c r="CR5" s="135" t="s">
        <v>2</v>
      </c>
      <c r="CS5" s="136"/>
      <c r="CT5" s="136"/>
      <c r="CU5" s="136"/>
      <c r="CV5" s="136"/>
      <c r="CW5" s="136"/>
      <c r="CX5" s="136"/>
      <c r="CY5" s="136"/>
      <c r="CZ5" s="136"/>
      <c r="DA5" s="18"/>
      <c r="DD5" s="4"/>
      <c r="DE5" s="4"/>
      <c r="DF5" s="15" t="s">
        <v>63</v>
      </c>
      <c r="DG5" s="15"/>
      <c r="DH5" s="41"/>
      <c r="DI5" s="4"/>
      <c r="DJ5" s="135" t="s">
        <v>2</v>
      </c>
      <c r="DK5" s="136"/>
      <c r="DL5" s="136"/>
      <c r="DM5" s="136"/>
      <c r="DN5" s="136"/>
      <c r="DO5" s="136"/>
      <c r="DP5" s="136"/>
      <c r="DQ5" s="136"/>
      <c r="DR5" s="136"/>
      <c r="DS5" s="4"/>
      <c r="DW5" s="27"/>
      <c r="DX5" s="56" t="s">
        <v>74</v>
      </c>
      <c r="DY5" s="56"/>
      <c r="DZ5" s="80">
        <f>D9</f>
        <v>0</v>
      </c>
      <c r="EA5" s="80">
        <f>D13</f>
        <v>0</v>
      </c>
      <c r="EB5" s="80">
        <f>D21</f>
        <v>0</v>
      </c>
      <c r="EC5" s="80">
        <f>D19</f>
        <v>0</v>
      </c>
      <c r="ED5" s="80">
        <f>D5</f>
        <v>0</v>
      </c>
      <c r="EE5" s="80">
        <f>D17</f>
        <v>0</v>
      </c>
      <c r="EF5" s="80">
        <f>D7</f>
        <v>0</v>
      </c>
      <c r="EG5" s="80">
        <f>D11</f>
        <v>0</v>
      </c>
      <c r="EH5" s="80">
        <f>D15</f>
        <v>0</v>
      </c>
      <c r="EI5" s="59"/>
      <c r="EJ5" s="61"/>
      <c r="EK5" s="62" t="s">
        <v>82</v>
      </c>
      <c r="EL5" s="63"/>
      <c r="EM5" s="64">
        <f>DZ19</f>
        <v>0</v>
      </c>
      <c r="EN5" s="65"/>
      <c r="EO5" s="26"/>
      <c r="EU5" s="54" t="str">
        <f>EK5</f>
        <v>Implementor</v>
      </c>
      <c r="EV5" s="54">
        <f>EM5</f>
        <v>0</v>
      </c>
    </row>
    <row r="6" spans="1:194" ht="4.95" customHeight="1" thickTop="1" thickBot="1" x14ac:dyDescent="0.35">
      <c r="F6" s="134"/>
      <c r="G6" s="134"/>
      <c r="H6" s="134"/>
      <c r="I6" s="134"/>
      <c r="J6" s="134"/>
      <c r="K6" s="134"/>
      <c r="L6" s="134"/>
      <c r="M6" s="134"/>
      <c r="N6" s="134"/>
      <c r="S6" s="4"/>
      <c r="T6" s="15"/>
      <c r="U6" s="15"/>
      <c r="V6" s="2"/>
      <c r="W6" s="4"/>
      <c r="X6" s="136"/>
      <c r="Y6" s="136"/>
      <c r="Z6" s="136"/>
      <c r="AA6" s="136"/>
      <c r="AB6" s="136"/>
      <c r="AC6" s="136"/>
      <c r="AD6" s="136"/>
      <c r="AE6" s="136"/>
      <c r="AF6" s="136"/>
      <c r="AG6" s="4"/>
      <c r="AJ6" s="4"/>
      <c r="AK6" s="4"/>
      <c r="AL6" s="15"/>
      <c r="AM6" s="15"/>
      <c r="AN6" s="2"/>
      <c r="AO6" s="4"/>
      <c r="AP6" s="136"/>
      <c r="AQ6" s="136"/>
      <c r="AR6" s="136"/>
      <c r="AS6" s="136"/>
      <c r="AT6" s="136"/>
      <c r="AU6" s="136"/>
      <c r="AV6" s="136"/>
      <c r="AW6" s="136"/>
      <c r="AX6" s="136"/>
      <c r="AY6" s="4"/>
      <c r="BB6" s="4"/>
      <c r="BC6" s="4"/>
      <c r="BD6" s="15"/>
      <c r="BE6" s="15"/>
      <c r="BF6" s="2"/>
      <c r="BG6" s="4"/>
      <c r="BH6" s="136"/>
      <c r="BI6" s="136"/>
      <c r="BJ6" s="136"/>
      <c r="BK6" s="136"/>
      <c r="BL6" s="136"/>
      <c r="BM6" s="136"/>
      <c r="BN6" s="136"/>
      <c r="BO6" s="136"/>
      <c r="BP6" s="136"/>
      <c r="BQ6" s="4"/>
      <c r="BT6" s="4"/>
      <c r="BU6" s="4"/>
      <c r="BV6" s="15"/>
      <c r="BW6" s="15"/>
      <c r="BX6" s="2"/>
      <c r="BY6" s="4"/>
      <c r="BZ6" s="136"/>
      <c r="CA6" s="136"/>
      <c r="CB6" s="136"/>
      <c r="CC6" s="136"/>
      <c r="CD6" s="136"/>
      <c r="CE6" s="136"/>
      <c r="CF6" s="136"/>
      <c r="CG6" s="136"/>
      <c r="CH6" s="136"/>
      <c r="CI6" s="4"/>
      <c r="CL6" s="4"/>
      <c r="CM6" s="4"/>
      <c r="CN6" s="15"/>
      <c r="CO6" s="15"/>
      <c r="CP6" s="2"/>
      <c r="CQ6" s="4"/>
      <c r="CR6" s="136"/>
      <c r="CS6" s="136"/>
      <c r="CT6" s="136"/>
      <c r="CU6" s="136"/>
      <c r="CV6" s="136"/>
      <c r="CW6" s="136"/>
      <c r="CX6" s="136"/>
      <c r="CY6" s="136"/>
      <c r="CZ6" s="136"/>
      <c r="DA6" s="4"/>
      <c r="DD6" s="4"/>
      <c r="DE6" s="4"/>
      <c r="DF6" s="15"/>
      <c r="DG6" s="15"/>
      <c r="DH6" s="2"/>
      <c r="DI6" s="4"/>
      <c r="DJ6" s="136"/>
      <c r="DK6" s="136"/>
      <c r="DL6" s="136"/>
      <c r="DM6" s="136"/>
      <c r="DN6" s="136"/>
      <c r="DO6" s="136"/>
      <c r="DP6" s="136"/>
      <c r="DQ6" s="136"/>
      <c r="DR6" s="136"/>
      <c r="DS6" s="4"/>
      <c r="DW6" s="27"/>
      <c r="DX6" s="66"/>
      <c r="DY6" s="66"/>
      <c r="DZ6" s="66"/>
      <c r="EA6" s="66"/>
      <c r="EB6" s="66"/>
      <c r="EC6" s="66"/>
      <c r="ED6" s="66"/>
      <c r="EE6" s="66"/>
      <c r="EF6" s="66"/>
      <c r="EG6" s="66"/>
      <c r="EH6" s="66"/>
      <c r="EI6" s="59"/>
      <c r="EJ6" s="58"/>
      <c r="EK6" s="67"/>
      <c r="EL6" s="58"/>
      <c r="EM6" s="64"/>
      <c r="EN6" s="68"/>
      <c r="EO6" s="25"/>
      <c r="EU6" s="54" t="str">
        <f>EK7</f>
        <v>Coordinator</v>
      </c>
      <c r="EV6" s="54">
        <f>EM7</f>
        <v>0</v>
      </c>
    </row>
    <row r="7" spans="1:194" s="17" customFormat="1" ht="31.95" customHeight="1" thickTop="1" thickBot="1" x14ac:dyDescent="0.35">
      <c r="B7" s="16" t="s">
        <v>3</v>
      </c>
      <c r="C7" s="16"/>
      <c r="D7" s="41"/>
      <c r="F7" s="134"/>
      <c r="G7" s="134"/>
      <c r="H7" s="134"/>
      <c r="I7" s="134"/>
      <c r="J7" s="134"/>
      <c r="K7" s="134"/>
      <c r="L7" s="134"/>
      <c r="M7" s="134"/>
      <c r="N7" s="134"/>
      <c r="S7" s="18"/>
      <c r="T7" s="19" t="s">
        <v>14</v>
      </c>
      <c r="U7" s="19"/>
      <c r="V7" s="41"/>
      <c r="W7" s="18"/>
      <c r="X7" s="136"/>
      <c r="Y7" s="136"/>
      <c r="Z7" s="136"/>
      <c r="AA7" s="136"/>
      <c r="AB7" s="136"/>
      <c r="AC7" s="136"/>
      <c r="AD7" s="136"/>
      <c r="AE7" s="136"/>
      <c r="AF7" s="136"/>
      <c r="AG7" s="18"/>
      <c r="AJ7" s="18"/>
      <c r="AK7" s="18"/>
      <c r="AL7" s="19" t="s">
        <v>24</v>
      </c>
      <c r="AM7" s="19"/>
      <c r="AN7" s="41"/>
      <c r="AO7" s="18"/>
      <c r="AP7" s="136"/>
      <c r="AQ7" s="136"/>
      <c r="AR7" s="136"/>
      <c r="AS7" s="136"/>
      <c r="AT7" s="136"/>
      <c r="AU7" s="136"/>
      <c r="AV7" s="136"/>
      <c r="AW7" s="136"/>
      <c r="AX7" s="136"/>
      <c r="AY7" s="18"/>
      <c r="BB7" s="18"/>
      <c r="BC7" s="18"/>
      <c r="BD7" s="19" t="s">
        <v>34</v>
      </c>
      <c r="BE7" s="19"/>
      <c r="BF7" s="41"/>
      <c r="BG7" s="18"/>
      <c r="BH7" s="136"/>
      <c r="BI7" s="136"/>
      <c r="BJ7" s="136"/>
      <c r="BK7" s="136"/>
      <c r="BL7" s="136"/>
      <c r="BM7" s="136"/>
      <c r="BN7" s="136"/>
      <c r="BO7" s="136"/>
      <c r="BP7" s="136"/>
      <c r="BQ7" s="18"/>
      <c r="BT7" s="18"/>
      <c r="BU7" s="18"/>
      <c r="BV7" s="19" t="s">
        <v>44</v>
      </c>
      <c r="BW7" s="19"/>
      <c r="BX7" s="41"/>
      <c r="BY7" s="18"/>
      <c r="BZ7" s="136"/>
      <c r="CA7" s="136"/>
      <c r="CB7" s="136"/>
      <c r="CC7" s="136"/>
      <c r="CD7" s="136"/>
      <c r="CE7" s="136"/>
      <c r="CF7" s="136"/>
      <c r="CG7" s="136"/>
      <c r="CH7" s="136"/>
      <c r="CI7" s="18"/>
      <c r="CL7" s="18"/>
      <c r="CM7" s="18"/>
      <c r="CN7" s="19" t="s">
        <v>54</v>
      </c>
      <c r="CO7" s="19"/>
      <c r="CP7" s="41"/>
      <c r="CQ7" s="18"/>
      <c r="CR7" s="136"/>
      <c r="CS7" s="136"/>
      <c r="CT7" s="136"/>
      <c r="CU7" s="136"/>
      <c r="CV7" s="136"/>
      <c r="CW7" s="136"/>
      <c r="CX7" s="136"/>
      <c r="CY7" s="136"/>
      <c r="CZ7" s="136"/>
      <c r="DA7" s="18"/>
      <c r="DD7" s="4"/>
      <c r="DE7" s="4"/>
      <c r="DF7" s="15" t="s">
        <v>64</v>
      </c>
      <c r="DG7" s="15"/>
      <c r="DH7" s="41"/>
      <c r="DI7" s="4"/>
      <c r="DJ7" s="136"/>
      <c r="DK7" s="136"/>
      <c r="DL7" s="136"/>
      <c r="DM7" s="136"/>
      <c r="DN7" s="136"/>
      <c r="DO7" s="136"/>
      <c r="DP7" s="136"/>
      <c r="DQ7" s="136"/>
      <c r="DR7" s="136"/>
      <c r="DS7" s="4"/>
      <c r="DW7" s="27"/>
      <c r="DX7" s="56" t="s">
        <v>75</v>
      </c>
      <c r="DY7" s="56"/>
      <c r="DZ7" s="81">
        <f>V5</f>
        <v>0</v>
      </c>
      <c r="EA7" s="81">
        <f>V17</f>
        <v>0</v>
      </c>
      <c r="EB7" s="81">
        <f>V15</f>
        <v>0</v>
      </c>
      <c r="EC7" s="81">
        <f>V11</f>
        <v>0</v>
      </c>
      <c r="ED7" s="81">
        <f>V21</f>
        <v>0</v>
      </c>
      <c r="EE7" s="81">
        <f>V7</f>
        <v>0</v>
      </c>
      <c r="EF7" s="81">
        <f>V9</f>
        <v>0</v>
      </c>
      <c r="EG7" s="81">
        <f>V13</f>
        <v>0</v>
      </c>
      <c r="EH7" s="81">
        <f>V19</f>
        <v>0</v>
      </c>
      <c r="EI7" s="59"/>
      <c r="EJ7" s="61"/>
      <c r="EK7" s="74" t="s">
        <v>83</v>
      </c>
      <c r="EL7" s="75"/>
      <c r="EM7" s="64">
        <f>EA19</f>
        <v>0</v>
      </c>
      <c r="EN7" s="65"/>
      <c r="EO7" s="26"/>
      <c r="EU7" s="54" t="str">
        <f>EK9</f>
        <v>Shaper</v>
      </c>
      <c r="EV7" s="54">
        <f>EM9</f>
        <v>0</v>
      </c>
    </row>
    <row r="8" spans="1:194" ht="4.95" customHeight="1" thickTop="1" thickBot="1" x14ac:dyDescent="0.35">
      <c r="S8" s="4"/>
      <c r="T8" s="15"/>
      <c r="U8" s="15"/>
      <c r="V8" s="2"/>
      <c r="W8" s="4"/>
      <c r="X8" s="4"/>
      <c r="Y8" s="4"/>
      <c r="Z8" s="4"/>
      <c r="AA8" s="4"/>
      <c r="AB8" s="4"/>
      <c r="AC8" s="4"/>
      <c r="AD8" s="4"/>
      <c r="AE8" s="4"/>
      <c r="AF8" s="4"/>
      <c r="AG8" s="4"/>
      <c r="AJ8" s="4"/>
      <c r="AK8" s="4"/>
      <c r="AL8" s="15"/>
      <c r="AM8" s="15"/>
      <c r="AN8" s="2"/>
      <c r="AO8" s="4"/>
      <c r="AP8" s="4"/>
      <c r="AQ8" s="4"/>
      <c r="AR8" s="4"/>
      <c r="AS8" s="4"/>
      <c r="AT8" s="4"/>
      <c r="AU8" s="4"/>
      <c r="AV8" s="4"/>
      <c r="AW8" s="4"/>
      <c r="AX8" s="4"/>
      <c r="AY8" s="4"/>
      <c r="BB8" s="4"/>
      <c r="BC8" s="4"/>
      <c r="BD8" s="15"/>
      <c r="BE8" s="15"/>
      <c r="BF8" s="2"/>
      <c r="BG8" s="4"/>
      <c r="BH8" s="4"/>
      <c r="BI8" s="4"/>
      <c r="BJ8" s="4"/>
      <c r="BK8" s="4"/>
      <c r="BL8" s="4"/>
      <c r="BM8" s="4"/>
      <c r="BN8" s="4"/>
      <c r="BO8" s="4"/>
      <c r="BP8" s="4"/>
      <c r="BQ8" s="4"/>
      <c r="BT8" s="4"/>
      <c r="BU8" s="4"/>
      <c r="BV8" s="15"/>
      <c r="BW8" s="15"/>
      <c r="BX8" s="2"/>
      <c r="BY8" s="4"/>
      <c r="BZ8" s="4"/>
      <c r="CA8" s="4"/>
      <c r="CB8" s="4"/>
      <c r="CC8" s="4"/>
      <c r="CD8" s="4"/>
      <c r="CE8" s="4"/>
      <c r="CF8" s="4"/>
      <c r="CG8" s="4"/>
      <c r="CH8" s="4"/>
      <c r="CI8" s="4"/>
      <c r="CL8" s="4"/>
      <c r="CM8" s="4"/>
      <c r="CN8" s="15"/>
      <c r="CO8" s="15"/>
      <c r="CP8" s="2"/>
      <c r="CQ8" s="4"/>
      <c r="CR8" s="4"/>
      <c r="CS8" s="4"/>
      <c r="CT8" s="4"/>
      <c r="CU8" s="4"/>
      <c r="CV8" s="4"/>
      <c r="CW8" s="4"/>
      <c r="CX8" s="4"/>
      <c r="CY8" s="4"/>
      <c r="CZ8" s="4"/>
      <c r="DA8" s="4"/>
      <c r="DD8" s="4"/>
      <c r="DE8" s="4"/>
      <c r="DF8" s="15"/>
      <c r="DG8" s="15"/>
      <c r="DH8" s="2"/>
      <c r="DI8" s="4"/>
      <c r="DJ8" s="4"/>
      <c r="DK8" s="4"/>
      <c r="DL8" s="4"/>
      <c r="DM8" s="4"/>
      <c r="DN8" s="4"/>
      <c r="DO8" s="4"/>
      <c r="DP8" s="4"/>
      <c r="DQ8" s="4"/>
      <c r="DR8" s="4"/>
      <c r="DS8" s="4"/>
      <c r="DW8" s="27"/>
      <c r="DX8" s="66"/>
      <c r="DY8" s="66"/>
      <c r="DZ8" s="66"/>
      <c r="EA8" s="66"/>
      <c r="EB8" s="66"/>
      <c r="EC8" s="66"/>
      <c r="ED8" s="66"/>
      <c r="EE8" s="66"/>
      <c r="EF8" s="66"/>
      <c r="EG8" s="66"/>
      <c r="EH8" s="66"/>
      <c r="EI8" s="59"/>
      <c r="EJ8" s="58"/>
      <c r="EK8" s="67"/>
      <c r="EL8" s="58"/>
      <c r="EM8" s="64"/>
      <c r="EN8" s="68"/>
      <c r="EO8" s="25"/>
      <c r="EU8" s="54" t="str">
        <f>EK11</f>
        <v>Plant</v>
      </c>
      <c r="EV8" s="54">
        <f>EM11</f>
        <v>0</v>
      </c>
    </row>
    <row r="9" spans="1:194" s="17" customFormat="1" ht="31.95" customHeight="1" thickTop="1" thickBot="1" x14ac:dyDescent="0.35">
      <c r="B9" s="16" t="s">
        <v>4</v>
      </c>
      <c r="C9" s="16"/>
      <c r="D9" s="41"/>
      <c r="S9" s="18"/>
      <c r="T9" s="19" t="s">
        <v>15</v>
      </c>
      <c r="U9" s="19"/>
      <c r="V9" s="41"/>
      <c r="W9" s="18"/>
      <c r="X9" s="18"/>
      <c r="Y9" s="18"/>
      <c r="Z9" s="18"/>
      <c r="AA9" s="18"/>
      <c r="AB9" s="18"/>
      <c r="AC9" s="18"/>
      <c r="AD9" s="18"/>
      <c r="AE9" s="18"/>
      <c r="AF9" s="18"/>
      <c r="AG9" s="18"/>
      <c r="AJ9" s="18"/>
      <c r="AK9" s="18"/>
      <c r="AL9" s="19" t="s">
        <v>25</v>
      </c>
      <c r="AM9" s="19"/>
      <c r="AN9" s="41"/>
      <c r="AO9" s="18"/>
      <c r="AP9" s="18"/>
      <c r="AQ9" s="18"/>
      <c r="AR9" s="18"/>
      <c r="AS9" s="18"/>
      <c r="AT9" s="128" t="str">
        <f>IF(AS11&gt;0,"YOU HAVE NOT USED ALL OF YOUR POINTS YET","")</f>
        <v>YOU HAVE NOT USED ALL OF YOUR POINTS YET</v>
      </c>
      <c r="AU9" s="128"/>
      <c r="AV9" s="128"/>
      <c r="AW9" s="128"/>
      <c r="AX9" s="18"/>
      <c r="AY9" s="18"/>
      <c r="BB9" s="18"/>
      <c r="BC9" s="18"/>
      <c r="BD9" s="19" t="s">
        <v>35</v>
      </c>
      <c r="BE9" s="19"/>
      <c r="BF9" s="41"/>
      <c r="BG9" s="18"/>
      <c r="BH9" s="18"/>
      <c r="BI9" s="18"/>
      <c r="BJ9" s="18"/>
      <c r="BK9" s="18"/>
      <c r="BL9" s="18"/>
      <c r="BM9" s="18"/>
      <c r="BN9" s="18"/>
      <c r="BO9" s="18"/>
      <c r="BP9" s="18"/>
      <c r="BQ9" s="18"/>
      <c r="BT9" s="18"/>
      <c r="BU9" s="18"/>
      <c r="BV9" s="19" t="s">
        <v>45</v>
      </c>
      <c r="BW9" s="19"/>
      <c r="BX9" s="41"/>
      <c r="BY9" s="18"/>
      <c r="BZ9" s="18"/>
      <c r="CA9" s="18"/>
      <c r="CB9" s="18"/>
      <c r="CC9" s="18"/>
      <c r="CD9" s="18"/>
      <c r="CE9" s="18"/>
      <c r="CF9" s="18"/>
      <c r="CG9" s="18"/>
      <c r="CH9" s="18"/>
      <c r="CI9" s="18"/>
      <c r="CL9" s="18"/>
      <c r="CM9" s="18"/>
      <c r="CN9" s="19" t="s">
        <v>55</v>
      </c>
      <c r="CO9" s="19"/>
      <c r="CP9" s="41"/>
      <c r="CQ9" s="18"/>
      <c r="CR9" s="18"/>
      <c r="CS9" s="18"/>
      <c r="CT9" s="18"/>
      <c r="CU9" s="18"/>
      <c r="CV9" s="18"/>
      <c r="CW9" s="18"/>
      <c r="CX9" s="18"/>
      <c r="CY9" s="18"/>
      <c r="CZ9" s="18"/>
      <c r="DA9" s="18"/>
      <c r="DD9" s="4"/>
      <c r="DE9" s="4"/>
      <c r="DF9" s="15" t="s">
        <v>65</v>
      </c>
      <c r="DG9" s="15"/>
      <c r="DH9" s="41"/>
      <c r="DI9" s="4"/>
      <c r="DJ9" s="4"/>
      <c r="DK9" s="4"/>
      <c r="DL9" s="4"/>
      <c r="DM9" s="4"/>
      <c r="DN9" s="4"/>
      <c r="DO9" s="4"/>
      <c r="DP9" s="4"/>
      <c r="DQ9" s="4"/>
      <c r="DR9" s="4"/>
      <c r="DS9" s="4"/>
      <c r="DW9" s="27"/>
      <c r="DX9" s="56" t="s">
        <v>76</v>
      </c>
      <c r="DY9" s="56"/>
      <c r="DZ9" s="81">
        <f>AN21</f>
        <v>0</v>
      </c>
      <c r="EA9" s="81">
        <f>AN9</f>
        <v>0</v>
      </c>
      <c r="EB9" s="81">
        <f>AN19</f>
        <v>0</v>
      </c>
      <c r="EC9" s="81">
        <f>AN5</f>
        <v>0</v>
      </c>
      <c r="ED9" s="81">
        <f>AN11</f>
        <v>0</v>
      </c>
      <c r="EE9" s="81">
        <f>AN15</f>
        <v>0</v>
      </c>
      <c r="EF9" s="81">
        <f>AN17</f>
        <v>0</v>
      </c>
      <c r="EG9" s="81">
        <f>AN7</f>
        <v>0</v>
      </c>
      <c r="EH9" s="81">
        <f>AN13</f>
        <v>0</v>
      </c>
      <c r="EI9" s="59"/>
      <c r="EJ9" s="61"/>
      <c r="EK9" s="62" t="s">
        <v>84</v>
      </c>
      <c r="EL9" s="63"/>
      <c r="EM9" s="64">
        <f>EB19</f>
        <v>0</v>
      </c>
      <c r="EN9" s="65"/>
      <c r="EO9" s="26"/>
      <c r="EU9" s="54" t="str">
        <f>EK13</f>
        <v>Resource Investigator</v>
      </c>
      <c r="EV9" s="54">
        <f>EM13</f>
        <v>0</v>
      </c>
    </row>
    <row r="10" spans="1:194" ht="4.95" customHeight="1" thickTop="1" thickBot="1" x14ac:dyDescent="0.35">
      <c r="S10" s="4"/>
      <c r="T10" s="15"/>
      <c r="U10" s="15"/>
      <c r="V10" s="2"/>
      <c r="W10" s="4"/>
      <c r="X10" s="4"/>
      <c r="Y10" s="4"/>
      <c r="Z10" s="4"/>
      <c r="AA10" s="4"/>
      <c r="AB10" s="4"/>
      <c r="AC10" s="4"/>
      <c r="AD10" s="4"/>
      <c r="AE10" s="4"/>
      <c r="AF10" s="4"/>
      <c r="AG10" s="4"/>
      <c r="AJ10" s="4"/>
      <c r="AK10" s="4"/>
      <c r="AL10" s="15"/>
      <c r="AM10" s="15"/>
      <c r="AN10" s="2"/>
      <c r="AO10" s="4"/>
      <c r="AP10" s="4"/>
      <c r="AQ10" s="4"/>
      <c r="AR10" s="4"/>
      <c r="AS10" s="4"/>
      <c r="AT10" s="4"/>
      <c r="AU10" s="4"/>
      <c r="AV10" s="4"/>
      <c r="AW10" s="4"/>
      <c r="AX10" s="4"/>
      <c r="AY10" s="4"/>
      <c r="BB10" s="4"/>
      <c r="BC10" s="4"/>
      <c r="BD10" s="15"/>
      <c r="BE10" s="15"/>
      <c r="BF10" s="2"/>
      <c r="BG10" s="4"/>
      <c r="BH10" s="4"/>
      <c r="BI10" s="4"/>
      <c r="BJ10" s="4"/>
      <c r="BK10" s="4"/>
      <c r="BL10" s="4"/>
      <c r="BM10" s="4"/>
      <c r="BN10" s="4"/>
      <c r="BO10" s="4"/>
      <c r="BP10" s="4"/>
      <c r="BQ10" s="4"/>
      <c r="BT10" s="4"/>
      <c r="BU10" s="4"/>
      <c r="BV10" s="15"/>
      <c r="BW10" s="15"/>
      <c r="BX10" s="2"/>
      <c r="BY10" s="4"/>
      <c r="BZ10" s="4"/>
      <c r="CA10" s="4"/>
      <c r="CB10" s="4"/>
      <c r="CC10" s="4"/>
      <c r="CD10" s="4"/>
      <c r="CE10" s="4"/>
      <c r="CF10" s="4"/>
      <c r="CG10" s="4"/>
      <c r="CH10" s="4"/>
      <c r="CI10" s="4"/>
      <c r="CL10" s="4"/>
      <c r="CM10" s="4"/>
      <c r="CN10" s="15"/>
      <c r="CO10" s="15"/>
      <c r="CP10" s="2"/>
      <c r="CQ10" s="4"/>
      <c r="CR10" s="4"/>
      <c r="CS10" s="4"/>
      <c r="CT10" s="4"/>
      <c r="CU10" s="4"/>
      <c r="CV10" s="4"/>
      <c r="CW10" s="4"/>
      <c r="CX10" s="4"/>
      <c r="CY10" s="4"/>
      <c r="CZ10" s="4"/>
      <c r="DA10" s="4"/>
      <c r="DD10" s="4"/>
      <c r="DE10" s="4"/>
      <c r="DF10" s="15"/>
      <c r="DG10" s="15"/>
      <c r="DH10" s="2"/>
      <c r="DI10" s="4"/>
      <c r="DJ10" s="4"/>
      <c r="DK10" s="4"/>
      <c r="DL10" s="4"/>
      <c r="DM10" s="4"/>
      <c r="DN10" s="4"/>
      <c r="DO10" s="4"/>
      <c r="DP10" s="4"/>
      <c r="DQ10" s="4"/>
      <c r="DR10" s="4"/>
      <c r="DS10" s="4"/>
      <c r="DW10" s="27"/>
      <c r="DX10" s="66"/>
      <c r="DY10" s="66"/>
      <c r="DZ10" s="66"/>
      <c r="EA10" s="66"/>
      <c r="EB10" s="66"/>
      <c r="EC10" s="66"/>
      <c r="ED10" s="66"/>
      <c r="EE10" s="66"/>
      <c r="EF10" s="66"/>
      <c r="EG10" s="66"/>
      <c r="EH10" s="66"/>
      <c r="EI10" s="59"/>
      <c r="EJ10" s="58"/>
      <c r="EK10" s="67"/>
      <c r="EL10" s="58"/>
      <c r="EM10" s="64"/>
      <c r="EN10" s="68"/>
      <c r="EO10" s="25"/>
      <c r="EU10" s="54" t="str">
        <f>EK15</f>
        <v>Monitor Evaluator</v>
      </c>
      <c r="EV10" s="54">
        <f>EM15</f>
        <v>0</v>
      </c>
    </row>
    <row r="11" spans="1:194" s="17" customFormat="1" ht="31.95" customHeight="1" thickTop="1" thickBot="1" x14ac:dyDescent="0.35">
      <c r="B11" s="16" t="s">
        <v>5</v>
      </c>
      <c r="C11" s="16"/>
      <c r="D11" s="41"/>
      <c r="F11" s="129" t="s">
        <v>6</v>
      </c>
      <c r="G11" s="129"/>
      <c r="I11" s="22">
        <f>10-SUM(D5,D7,D9,D11,D13,D15,D17,D19,D21)</f>
        <v>10</v>
      </c>
      <c r="J11" s="126" t="str">
        <f>IF(I11&lt;0,"TOO MANY POINTS!","")</f>
        <v/>
      </c>
      <c r="K11" s="126"/>
      <c r="L11" s="126"/>
      <c r="M11" s="126"/>
      <c r="S11" s="18"/>
      <c r="T11" s="19" t="s">
        <v>16</v>
      </c>
      <c r="U11" s="19"/>
      <c r="V11" s="41"/>
      <c r="W11" s="18"/>
      <c r="X11" s="125" t="s">
        <v>6</v>
      </c>
      <c r="Y11" s="125"/>
      <c r="Z11" s="18"/>
      <c r="AA11" s="23">
        <f>10-SUM(V5,V7,V9,V11,V13,V15,V17,V19,V21)</f>
        <v>10</v>
      </c>
      <c r="AB11" s="126" t="str">
        <f>IF(AA11&lt;0,"TOO MANY POINTS!","")</f>
        <v/>
      </c>
      <c r="AC11" s="126"/>
      <c r="AD11" s="126"/>
      <c r="AE11" s="126"/>
      <c r="AF11" s="20"/>
      <c r="AG11" s="18"/>
      <c r="AJ11" s="18"/>
      <c r="AK11" s="18"/>
      <c r="AL11" s="19" t="s">
        <v>26</v>
      </c>
      <c r="AM11" s="19"/>
      <c r="AN11" s="41"/>
      <c r="AO11" s="18"/>
      <c r="AP11" s="125" t="s">
        <v>6</v>
      </c>
      <c r="AQ11" s="125"/>
      <c r="AR11" s="18"/>
      <c r="AS11" s="23">
        <f>10-SUM(AN5,AN7,AN9,AN11,AN13,AN15,AN17,AN19,AN21)</f>
        <v>10</v>
      </c>
      <c r="AT11" s="126" t="str">
        <f>IF(AS11&lt;0,"TOO MANY POINTS!","")</f>
        <v/>
      </c>
      <c r="AU11" s="126"/>
      <c r="AV11" s="126"/>
      <c r="AW11" s="126"/>
      <c r="AX11" s="20"/>
      <c r="AY11" s="18"/>
      <c r="BB11" s="18"/>
      <c r="BC11" s="18"/>
      <c r="BD11" s="19" t="s">
        <v>36</v>
      </c>
      <c r="BE11" s="19"/>
      <c r="BF11" s="41"/>
      <c r="BG11" s="18"/>
      <c r="BH11" s="125" t="s">
        <v>6</v>
      </c>
      <c r="BI11" s="125"/>
      <c r="BJ11" s="18"/>
      <c r="BK11" s="23">
        <f>10-SUM(BF5,BF7,BF9,BF11,BF13,BF15,BF17,BF19,BF21)</f>
        <v>10</v>
      </c>
      <c r="BL11" s="126" t="str">
        <f>IF(BK11&lt;0,"TOO MANY POINTS!","")</f>
        <v/>
      </c>
      <c r="BM11" s="126"/>
      <c r="BN11" s="126"/>
      <c r="BO11" s="126"/>
      <c r="BP11" s="20"/>
      <c r="BQ11" s="18"/>
      <c r="BT11" s="18"/>
      <c r="BU11" s="18"/>
      <c r="BV11" s="19" t="s">
        <v>46</v>
      </c>
      <c r="BW11" s="19"/>
      <c r="BX11" s="41"/>
      <c r="BY11" s="18"/>
      <c r="BZ11" s="125" t="s">
        <v>6</v>
      </c>
      <c r="CA11" s="125"/>
      <c r="CB11" s="18"/>
      <c r="CC11" s="23">
        <f>10-SUM(BX5,BX7,BX9,BX11,BX13,BX15,BX17,BX19,BX21)</f>
        <v>10</v>
      </c>
      <c r="CD11" s="126" t="str">
        <f>IF(CC11&lt;0,"TOO MANY POINTS!","")</f>
        <v/>
      </c>
      <c r="CE11" s="126"/>
      <c r="CF11" s="126"/>
      <c r="CG11" s="126"/>
      <c r="CH11" s="20"/>
      <c r="CI11" s="18"/>
      <c r="CL11" s="18"/>
      <c r="CM11" s="18"/>
      <c r="CN11" s="19" t="s">
        <v>56</v>
      </c>
      <c r="CO11" s="19"/>
      <c r="CP11" s="41"/>
      <c r="CQ11" s="18"/>
      <c r="CR11" s="125" t="s">
        <v>6</v>
      </c>
      <c r="CS11" s="125"/>
      <c r="CT11" s="18"/>
      <c r="CU11" s="23">
        <f>10-SUM(CP5,CP7,CP9,CP11,CP13,CP15,CP17,CP19,CP21)</f>
        <v>10</v>
      </c>
      <c r="CV11" s="126" t="str">
        <f>IF(CU11&lt;0,"TOO MANY POINTS!","")</f>
        <v/>
      </c>
      <c r="CW11" s="126"/>
      <c r="CX11" s="126"/>
      <c r="CY11" s="126"/>
      <c r="CZ11" s="20"/>
      <c r="DA11" s="18"/>
      <c r="DD11" s="4"/>
      <c r="DE11" s="4"/>
      <c r="DF11" s="15" t="s">
        <v>66</v>
      </c>
      <c r="DG11" s="15"/>
      <c r="DH11" s="41"/>
      <c r="DI11" s="4"/>
      <c r="DJ11" s="125" t="s">
        <v>6</v>
      </c>
      <c r="DK11" s="125"/>
      <c r="DL11" s="4"/>
      <c r="DM11" s="23">
        <f>10-SUM(DH5,DH7,DH9,DH11,DH13,DH15,DH17,DH19,DH21)</f>
        <v>10</v>
      </c>
      <c r="DN11" s="126" t="str">
        <f>IF(DM11&lt;0,"TOO MANY POINTS!","")</f>
        <v/>
      </c>
      <c r="DO11" s="126"/>
      <c r="DP11" s="126"/>
      <c r="DQ11" s="126"/>
      <c r="DR11" s="21"/>
      <c r="DS11" s="4"/>
      <c r="DW11" s="27"/>
      <c r="DX11" s="56" t="s">
        <v>77</v>
      </c>
      <c r="DY11" s="56"/>
      <c r="DZ11" s="81">
        <f>BF11</f>
        <v>0</v>
      </c>
      <c r="EA11" s="81">
        <f>BF7</f>
        <v>0</v>
      </c>
      <c r="EB11" s="81">
        <f>BF9</f>
        <v>0</v>
      </c>
      <c r="EC11" s="81">
        <f>BF13</f>
        <v>0</v>
      </c>
      <c r="ED11" s="81">
        <f>BF15</f>
        <v>0</v>
      </c>
      <c r="EE11" s="81">
        <f>BF19</f>
        <v>0</v>
      </c>
      <c r="EF11" s="81">
        <f>BF5</f>
        <v>0</v>
      </c>
      <c r="EG11" s="81">
        <f>BF17</f>
        <v>0</v>
      </c>
      <c r="EH11" s="81">
        <f>BF21</f>
        <v>0</v>
      </c>
      <c r="EI11" s="59"/>
      <c r="EJ11" s="61"/>
      <c r="EK11" s="74" t="s">
        <v>85</v>
      </c>
      <c r="EL11" s="75"/>
      <c r="EM11" s="64">
        <f>EC19</f>
        <v>0</v>
      </c>
      <c r="EN11" s="65"/>
      <c r="EO11" s="26"/>
      <c r="EU11" s="54" t="str">
        <f>EK17</f>
        <v>Team Worker</v>
      </c>
      <c r="EV11" s="54">
        <f>EM17</f>
        <v>0</v>
      </c>
    </row>
    <row r="12" spans="1:194" ht="4.95" customHeight="1" thickTop="1" thickBot="1" x14ac:dyDescent="0.35">
      <c r="J12" s="4"/>
      <c r="K12" s="4"/>
      <c r="L12" s="4"/>
      <c r="M12" s="4"/>
      <c r="S12" s="4"/>
      <c r="T12" s="15"/>
      <c r="U12" s="15"/>
      <c r="V12" s="2"/>
      <c r="W12" s="4"/>
      <c r="X12" s="4"/>
      <c r="Y12" s="4"/>
      <c r="Z12" s="4"/>
      <c r="AA12" s="4"/>
      <c r="AB12" s="4"/>
      <c r="AC12" s="4"/>
      <c r="AD12" s="4"/>
      <c r="AE12" s="4"/>
      <c r="AF12" s="21"/>
      <c r="AG12" s="4"/>
      <c r="AJ12" s="4"/>
      <c r="AK12" s="4"/>
      <c r="AL12" s="15"/>
      <c r="AM12" s="15"/>
      <c r="AN12" s="2"/>
      <c r="AO12" s="4"/>
      <c r="AP12" s="4"/>
      <c r="AQ12" s="4"/>
      <c r="AR12" s="4"/>
      <c r="AS12" s="4"/>
      <c r="AT12" s="4"/>
      <c r="AU12" s="4"/>
      <c r="AV12" s="4"/>
      <c r="AW12" s="4"/>
      <c r="AX12" s="21"/>
      <c r="AY12" s="4"/>
      <c r="BB12" s="4"/>
      <c r="BC12" s="4"/>
      <c r="BD12" s="15"/>
      <c r="BE12" s="15"/>
      <c r="BF12" s="2"/>
      <c r="BG12" s="4"/>
      <c r="BH12" s="4"/>
      <c r="BI12" s="4"/>
      <c r="BJ12" s="4"/>
      <c r="BK12" s="4"/>
      <c r="BL12" s="4"/>
      <c r="BM12" s="4"/>
      <c r="BN12" s="4"/>
      <c r="BO12" s="4"/>
      <c r="BP12" s="21"/>
      <c r="BQ12" s="4"/>
      <c r="BT12" s="4"/>
      <c r="BU12" s="4"/>
      <c r="BV12" s="15"/>
      <c r="BW12" s="15"/>
      <c r="BX12" s="2"/>
      <c r="BY12" s="4"/>
      <c r="BZ12" s="4"/>
      <c r="CA12" s="4"/>
      <c r="CB12" s="4"/>
      <c r="CC12" s="4"/>
      <c r="CD12" s="4"/>
      <c r="CE12" s="4"/>
      <c r="CF12" s="4"/>
      <c r="CG12" s="4"/>
      <c r="CH12" s="21"/>
      <c r="CI12" s="4"/>
      <c r="CL12" s="4"/>
      <c r="CM12" s="4"/>
      <c r="CN12" s="15"/>
      <c r="CO12" s="15"/>
      <c r="CP12" s="2"/>
      <c r="CQ12" s="4"/>
      <c r="CR12" s="4"/>
      <c r="CS12" s="4"/>
      <c r="CT12" s="4"/>
      <c r="CU12" s="4"/>
      <c r="CV12" s="4"/>
      <c r="CW12" s="4"/>
      <c r="CX12" s="4"/>
      <c r="CY12" s="4"/>
      <c r="CZ12" s="21"/>
      <c r="DA12" s="4"/>
      <c r="DD12" s="4"/>
      <c r="DE12" s="4"/>
      <c r="DF12" s="15"/>
      <c r="DG12" s="15"/>
      <c r="DH12" s="2"/>
      <c r="DI12" s="4"/>
      <c r="DJ12" s="4"/>
      <c r="DK12" s="4"/>
      <c r="DL12" s="4"/>
      <c r="DM12" s="4"/>
      <c r="DN12" s="4"/>
      <c r="DO12" s="4"/>
      <c r="DP12" s="4"/>
      <c r="DQ12" s="4"/>
      <c r="DR12" s="21"/>
      <c r="DS12" s="4"/>
      <c r="DW12" s="27"/>
      <c r="DX12" s="66"/>
      <c r="DY12" s="66"/>
      <c r="DZ12" s="66"/>
      <c r="EA12" s="66"/>
      <c r="EB12" s="66"/>
      <c r="EC12" s="66"/>
      <c r="ED12" s="66"/>
      <c r="EE12" s="66"/>
      <c r="EF12" s="66"/>
      <c r="EG12" s="66"/>
      <c r="EH12" s="66"/>
      <c r="EI12" s="59"/>
      <c r="EJ12" s="58"/>
      <c r="EK12" s="67"/>
      <c r="EL12" s="58"/>
      <c r="EM12" s="64"/>
      <c r="EN12" s="68"/>
      <c r="EO12" s="25"/>
      <c r="EU12" s="54" t="str">
        <f>EK19</f>
        <v>Complete Finisher</v>
      </c>
      <c r="EV12" s="54">
        <f>EM19</f>
        <v>0</v>
      </c>
    </row>
    <row r="13" spans="1:194" s="17" customFormat="1" ht="31.95" customHeight="1" thickTop="1" thickBot="1" x14ac:dyDescent="0.35">
      <c r="B13" s="16" t="s">
        <v>7</v>
      </c>
      <c r="C13" s="16"/>
      <c r="D13" s="41"/>
      <c r="J13" s="127" t="str">
        <f>IF(I11&gt;0,"YOU HAVE NOT USED ALL OF YOUR POINTS YET","")</f>
        <v>YOU HAVE NOT USED ALL OF YOUR POINTS YET</v>
      </c>
      <c r="K13" s="127"/>
      <c r="L13" s="127"/>
      <c r="M13" s="127"/>
      <c r="S13" s="18"/>
      <c r="T13" s="19" t="s">
        <v>17</v>
      </c>
      <c r="U13" s="19"/>
      <c r="V13" s="41"/>
      <c r="W13" s="18"/>
      <c r="X13" s="18"/>
      <c r="Y13" s="18"/>
      <c r="Z13" s="18"/>
      <c r="AA13" s="18"/>
      <c r="AB13" s="127" t="str">
        <f>IF(AA11&gt;0,"YOU HAVE NOT USED ALL OF YOUR POINTS YET","")</f>
        <v>YOU HAVE NOT USED ALL OF YOUR POINTS YET</v>
      </c>
      <c r="AC13" s="127"/>
      <c r="AD13" s="127"/>
      <c r="AE13" s="127"/>
      <c r="AF13" s="20"/>
      <c r="AG13" s="18"/>
      <c r="AJ13" s="18"/>
      <c r="AK13" s="18"/>
      <c r="AL13" s="19" t="s">
        <v>27</v>
      </c>
      <c r="AM13" s="19"/>
      <c r="AN13" s="41"/>
      <c r="AO13" s="18"/>
      <c r="AP13" s="18"/>
      <c r="AQ13" s="18"/>
      <c r="AR13" s="18"/>
      <c r="AS13" s="18"/>
      <c r="AT13" s="127" t="str">
        <f>IF(AS11&gt;0,"YOU HAVE NOT USED ALL OF YOUR POINTS YET","")</f>
        <v>YOU HAVE NOT USED ALL OF YOUR POINTS YET</v>
      </c>
      <c r="AU13" s="127"/>
      <c r="AV13" s="127"/>
      <c r="AW13" s="127"/>
      <c r="AX13" s="20"/>
      <c r="AY13" s="18"/>
      <c r="BB13" s="18"/>
      <c r="BC13" s="18"/>
      <c r="BD13" s="19" t="s">
        <v>37</v>
      </c>
      <c r="BE13" s="19"/>
      <c r="BF13" s="41"/>
      <c r="BG13" s="18"/>
      <c r="BH13" s="18"/>
      <c r="BI13" s="18"/>
      <c r="BJ13" s="18"/>
      <c r="BK13" s="18"/>
      <c r="BL13" s="127" t="str">
        <f>IF(BK11&gt;0,"YOU HAVE NOT USED ALL OF YOUR POINTS YET","")</f>
        <v>YOU HAVE NOT USED ALL OF YOUR POINTS YET</v>
      </c>
      <c r="BM13" s="127"/>
      <c r="BN13" s="127"/>
      <c r="BO13" s="127"/>
      <c r="BP13" s="20"/>
      <c r="BQ13" s="18"/>
      <c r="BT13" s="18"/>
      <c r="BU13" s="18"/>
      <c r="BV13" s="19" t="s">
        <v>47</v>
      </c>
      <c r="BW13" s="19"/>
      <c r="BX13" s="41"/>
      <c r="BY13" s="18"/>
      <c r="BZ13" s="18"/>
      <c r="CA13" s="18"/>
      <c r="CB13" s="18"/>
      <c r="CC13" s="18"/>
      <c r="CD13" s="127" t="str">
        <f>IF(CC11&gt;0,"YOU HAVE NOT USED ALL OF YOUR POINTS YET","")</f>
        <v>YOU HAVE NOT USED ALL OF YOUR POINTS YET</v>
      </c>
      <c r="CE13" s="127"/>
      <c r="CF13" s="127"/>
      <c r="CG13" s="127"/>
      <c r="CH13" s="20"/>
      <c r="CI13" s="18"/>
      <c r="CL13" s="18"/>
      <c r="CM13" s="18"/>
      <c r="CN13" s="19" t="s">
        <v>57</v>
      </c>
      <c r="CO13" s="19"/>
      <c r="CP13" s="41"/>
      <c r="CQ13" s="18"/>
      <c r="CR13" s="18"/>
      <c r="CS13" s="18"/>
      <c r="CT13" s="18"/>
      <c r="CU13" s="18"/>
      <c r="CV13" s="127" t="str">
        <f>IF(CU11&gt;0,"YOU HAVE NOT USED ALL OF YOUR POINTS YET","")</f>
        <v>YOU HAVE NOT USED ALL OF YOUR POINTS YET</v>
      </c>
      <c r="CW13" s="127"/>
      <c r="CX13" s="127"/>
      <c r="CY13" s="127"/>
      <c r="CZ13" s="20"/>
      <c r="DA13" s="18"/>
      <c r="DD13" s="4"/>
      <c r="DE13" s="4"/>
      <c r="DF13" s="15" t="s">
        <v>67</v>
      </c>
      <c r="DG13" s="15"/>
      <c r="DH13" s="41"/>
      <c r="DI13" s="4"/>
      <c r="DJ13" s="4"/>
      <c r="DK13" s="4"/>
      <c r="DL13" s="4"/>
      <c r="DM13" s="4"/>
      <c r="DN13" s="127" t="str">
        <f>IF(DM11&gt;0,"YOU HAVE NOT USED ALL OF YOUR POINTS YET","")</f>
        <v>YOU HAVE NOT USED ALL OF YOUR POINTS YET</v>
      </c>
      <c r="DO13" s="127"/>
      <c r="DP13" s="127"/>
      <c r="DQ13" s="127"/>
      <c r="DR13" s="21"/>
      <c r="DS13" s="4"/>
      <c r="DW13" s="27"/>
      <c r="DX13" s="56" t="s">
        <v>78</v>
      </c>
      <c r="DY13" s="56"/>
      <c r="DZ13" s="81">
        <f>BX13</f>
        <v>0</v>
      </c>
      <c r="EA13" s="81">
        <f>BX19</f>
        <v>0</v>
      </c>
      <c r="EB13" s="81">
        <f>BX21</f>
        <v>0</v>
      </c>
      <c r="EC13" s="81">
        <f>BX9</f>
        <v>0</v>
      </c>
      <c r="ED13" s="81">
        <f>BX17</f>
        <v>0</v>
      </c>
      <c r="EE13" s="81">
        <f>BX5</f>
        <v>0</v>
      </c>
      <c r="EF13" s="81">
        <f>BX15</f>
        <v>0</v>
      </c>
      <c r="EG13" s="81">
        <f>BX11</f>
        <v>0</v>
      </c>
      <c r="EH13" s="81">
        <f>BX7</f>
        <v>0</v>
      </c>
      <c r="EI13" s="59"/>
      <c r="EJ13" s="61"/>
      <c r="EK13" s="62" t="s">
        <v>86</v>
      </c>
      <c r="EL13" s="63"/>
      <c r="EM13" s="64">
        <f>ED19</f>
        <v>0</v>
      </c>
      <c r="EN13" s="65"/>
      <c r="EO13" s="26"/>
      <c r="EU13" s="54" t="str">
        <f>EK21</f>
        <v>Specialist</v>
      </c>
      <c r="EV13" s="54">
        <f>EM21</f>
        <v>0</v>
      </c>
    </row>
    <row r="14" spans="1:194" ht="4.95" customHeight="1" thickTop="1" thickBot="1" x14ac:dyDescent="0.35">
      <c r="J14" s="4"/>
      <c r="K14" s="4"/>
      <c r="L14" s="4"/>
      <c r="M14" s="4"/>
      <c r="S14" s="4"/>
      <c r="T14" s="15"/>
      <c r="U14" s="15"/>
      <c r="V14" s="2"/>
      <c r="W14" s="4"/>
      <c r="X14" s="4"/>
      <c r="Y14" s="4"/>
      <c r="Z14" s="4"/>
      <c r="AA14" s="4"/>
      <c r="AB14" s="4"/>
      <c r="AC14" s="4"/>
      <c r="AD14" s="4"/>
      <c r="AE14" s="4"/>
      <c r="AF14" s="21"/>
      <c r="AG14" s="4"/>
      <c r="AJ14" s="4"/>
      <c r="AK14" s="4"/>
      <c r="AL14" s="15"/>
      <c r="AM14" s="15"/>
      <c r="AN14" s="2"/>
      <c r="AO14" s="4"/>
      <c r="AP14" s="4"/>
      <c r="AQ14" s="4"/>
      <c r="AR14" s="4"/>
      <c r="AS14" s="4"/>
      <c r="AT14" s="4"/>
      <c r="AU14" s="4"/>
      <c r="AV14" s="4"/>
      <c r="AW14" s="4"/>
      <c r="AX14" s="21"/>
      <c r="AY14" s="4"/>
      <c r="BB14" s="4"/>
      <c r="BC14" s="4"/>
      <c r="BD14" s="15"/>
      <c r="BE14" s="15"/>
      <c r="BF14" s="2"/>
      <c r="BG14" s="4"/>
      <c r="BH14" s="4"/>
      <c r="BI14" s="4"/>
      <c r="BJ14" s="4"/>
      <c r="BK14" s="4"/>
      <c r="BL14" s="4"/>
      <c r="BM14" s="4"/>
      <c r="BN14" s="4"/>
      <c r="BO14" s="4"/>
      <c r="BP14" s="21"/>
      <c r="BQ14" s="4"/>
      <c r="BT14" s="4"/>
      <c r="BU14" s="4"/>
      <c r="BV14" s="15"/>
      <c r="BW14" s="15"/>
      <c r="BX14" s="2"/>
      <c r="BY14" s="4"/>
      <c r="BZ14" s="4"/>
      <c r="CA14" s="4"/>
      <c r="CB14" s="4"/>
      <c r="CC14" s="4"/>
      <c r="CD14" s="4"/>
      <c r="CE14" s="4"/>
      <c r="CF14" s="4"/>
      <c r="CG14" s="4"/>
      <c r="CH14" s="21"/>
      <c r="CI14" s="4"/>
      <c r="CL14" s="4"/>
      <c r="CM14" s="4"/>
      <c r="CN14" s="15"/>
      <c r="CO14" s="15"/>
      <c r="CP14" s="2"/>
      <c r="CQ14" s="4"/>
      <c r="CR14" s="4"/>
      <c r="CS14" s="4"/>
      <c r="CT14" s="4"/>
      <c r="CU14" s="4"/>
      <c r="CV14" s="4"/>
      <c r="CW14" s="4"/>
      <c r="CX14" s="4"/>
      <c r="CY14" s="4"/>
      <c r="CZ14" s="21"/>
      <c r="DA14" s="4"/>
      <c r="DD14" s="4"/>
      <c r="DE14" s="4"/>
      <c r="DF14" s="15"/>
      <c r="DG14" s="15"/>
      <c r="DH14" s="2"/>
      <c r="DI14" s="4"/>
      <c r="DJ14" s="4"/>
      <c r="DK14" s="4"/>
      <c r="DL14" s="4"/>
      <c r="DM14" s="4"/>
      <c r="DN14" s="4"/>
      <c r="DO14" s="4"/>
      <c r="DP14" s="4"/>
      <c r="DQ14" s="4"/>
      <c r="DR14" s="21"/>
      <c r="DS14" s="4"/>
      <c r="DW14" s="27"/>
      <c r="DX14" s="66"/>
      <c r="DY14" s="66"/>
      <c r="DZ14" s="66"/>
      <c r="EA14" s="66"/>
      <c r="EB14" s="66"/>
      <c r="EC14" s="66"/>
      <c r="ED14" s="66"/>
      <c r="EE14" s="66"/>
      <c r="EF14" s="66"/>
      <c r="EG14" s="66"/>
      <c r="EH14" s="66"/>
      <c r="EI14" s="59"/>
      <c r="EJ14" s="58"/>
      <c r="EK14" s="67"/>
      <c r="EL14" s="58"/>
      <c r="EM14" s="64"/>
      <c r="EN14" s="68"/>
      <c r="EO14" s="25"/>
      <c r="GL14" s="17"/>
    </row>
    <row r="15" spans="1:194" s="17" customFormat="1" ht="31.95" customHeight="1" thickTop="1" thickBot="1" x14ac:dyDescent="0.35">
      <c r="B15" s="16" t="s">
        <v>8</v>
      </c>
      <c r="C15" s="16"/>
      <c r="D15" s="41"/>
      <c r="J15" s="124" t="str">
        <f>IF(I11=0,"THANK YOU, YOU MAY CONTINUE","")</f>
        <v/>
      </c>
      <c r="K15" s="124"/>
      <c r="L15" s="124"/>
      <c r="M15" s="124"/>
      <c r="S15" s="18"/>
      <c r="T15" s="19" t="s">
        <v>18</v>
      </c>
      <c r="U15" s="19"/>
      <c r="V15" s="41"/>
      <c r="W15" s="18"/>
      <c r="X15" s="18"/>
      <c r="Y15" s="18"/>
      <c r="Z15" s="18"/>
      <c r="AA15" s="18"/>
      <c r="AB15" s="124" t="str">
        <f>IF(AA11=0,"THANK YOU, YOU MAY CONTINUE","")</f>
        <v/>
      </c>
      <c r="AC15" s="124"/>
      <c r="AD15" s="124"/>
      <c r="AE15" s="124"/>
      <c r="AF15" s="20"/>
      <c r="AG15" s="18"/>
      <c r="AJ15" s="18"/>
      <c r="AK15" s="18"/>
      <c r="AL15" s="19" t="s">
        <v>28</v>
      </c>
      <c r="AM15" s="19"/>
      <c r="AN15" s="41"/>
      <c r="AO15" s="18"/>
      <c r="AP15" s="18"/>
      <c r="AQ15" s="18"/>
      <c r="AR15" s="18"/>
      <c r="AS15" s="18"/>
      <c r="AT15" s="124" t="str">
        <f>IF(AS11=0,"THANK YOU, YOU MAY CONTINUE","")</f>
        <v/>
      </c>
      <c r="AU15" s="124"/>
      <c r="AV15" s="124"/>
      <c r="AW15" s="124"/>
      <c r="AX15" s="20"/>
      <c r="AY15" s="18"/>
      <c r="BB15" s="18"/>
      <c r="BC15" s="18"/>
      <c r="BD15" s="19" t="s">
        <v>38</v>
      </c>
      <c r="BE15" s="19"/>
      <c r="BF15" s="41"/>
      <c r="BG15" s="18"/>
      <c r="BH15" s="18"/>
      <c r="BI15" s="18"/>
      <c r="BJ15" s="18"/>
      <c r="BK15" s="18"/>
      <c r="BL15" s="124" t="str">
        <f>IF(BK11=0,"THANK YOU, YOU MAY CONTINUE","")</f>
        <v/>
      </c>
      <c r="BM15" s="124"/>
      <c r="BN15" s="124"/>
      <c r="BO15" s="124"/>
      <c r="BP15" s="20"/>
      <c r="BQ15" s="18"/>
      <c r="BT15" s="18"/>
      <c r="BU15" s="18"/>
      <c r="BV15" s="19" t="s">
        <v>48</v>
      </c>
      <c r="BW15" s="19"/>
      <c r="BX15" s="41"/>
      <c r="BY15" s="18"/>
      <c r="BZ15" s="18"/>
      <c r="CA15" s="18"/>
      <c r="CB15" s="18"/>
      <c r="CC15" s="18"/>
      <c r="CD15" s="124" t="str">
        <f>IF(CC11=0,"THANK YOU, YOU MAY CONTINUE","")</f>
        <v/>
      </c>
      <c r="CE15" s="124"/>
      <c r="CF15" s="124"/>
      <c r="CG15" s="124"/>
      <c r="CH15" s="20"/>
      <c r="CI15" s="18"/>
      <c r="CL15" s="18"/>
      <c r="CM15" s="18"/>
      <c r="CN15" s="19" t="s">
        <v>58</v>
      </c>
      <c r="CO15" s="19"/>
      <c r="CP15" s="41"/>
      <c r="CQ15" s="18"/>
      <c r="CR15" s="18"/>
      <c r="CS15" s="18"/>
      <c r="CT15" s="18"/>
      <c r="CU15" s="18"/>
      <c r="CV15" s="124" t="str">
        <f>IF(CU11=0,"THANK YOU, YOU MAY CONTINUE","")</f>
        <v/>
      </c>
      <c r="CW15" s="124"/>
      <c r="CX15" s="124"/>
      <c r="CY15" s="124"/>
      <c r="CZ15" s="20"/>
      <c r="DA15" s="18"/>
      <c r="DD15" s="4"/>
      <c r="DE15" s="4"/>
      <c r="DF15" s="15" t="s">
        <v>68</v>
      </c>
      <c r="DG15" s="15"/>
      <c r="DH15" s="41"/>
      <c r="DI15" s="4"/>
      <c r="DJ15" s="4"/>
      <c r="DK15" s="4"/>
      <c r="DL15" s="4"/>
      <c r="DM15" s="4"/>
      <c r="DN15" s="124" t="str">
        <f>IF(DM11=0,"THANK YOU, YOU MAY CONTINUE","")</f>
        <v/>
      </c>
      <c r="DO15" s="124"/>
      <c r="DP15" s="124"/>
      <c r="DQ15" s="124"/>
      <c r="DR15" s="21"/>
      <c r="DS15" s="4"/>
      <c r="DX15" s="56" t="s">
        <v>79</v>
      </c>
      <c r="DY15" s="56"/>
      <c r="DZ15" s="81">
        <f>CP7</f>
        <v>0</v>
      </c>
      <c r="EA15" s="81">
        <f>CP13</f>
        <v>0</v>
      </c>
      <c r="EB15" s="81">
        <f>CP17</f>
        <v>0</v>
      </c>
      <c r="EC15" s="81">
        <f>CP15</f>
        <v>0</v>
      </c>
      <c r="ED15" s="81">
        <f>CP9</f>
        <v>0</v>
      </c>
      <c r="EE15" s="81">
        <f>CP11</f>
        <v>0</v>
      </c>
      <c r="EF15" s="81">
        <f>CP21</f>
        <v>0</v>
      </c>
      <c r="EG15" s="81">
        <f>CP19</f>
        <v>0</v>
      </c>
      <c r="EH15" s="81">
        <f>CP5</f>
        <v>0</v>
      </c>
      <c r="EI15" s="59"/>
      <c r="EJ15" s="61"/>
      <c r="EK15" s="74" t="s">
        <v>87</v>
      </c>
      <c r="EL15" s="75"/>
      <c r="EM15" s="64">
        <f>EE19</f>
        <v>0</v>
      </c>
      <c r="EN15" s="65"/>
      <c r="EO15" s="26"/>
    </row>
    <row r="16" spans="1:194" ht="4.95" customHeight="1" thickTop="1" thickBot="1" x14ac:dyDescent="0.35">
      <c r="J16" s="4"/>
      <c r="K16" s="4"/>
      <c r="L16" s="4"/>
      <c r="M16" s="4"/>
      <c r="S16" s="4"/>
      <c r="T16" s="15"/>
      <c r="U16" s="15"/>
      <c r="V16" s="2"/>
      <c r="W16" s="4"/>
      <c r="X16" s="4"/>
      <c r="Y16" s="4"/>
      <c r="Z16" s="4"/>
      <c r="AA16" s="4"/>
      <c r="AB16" s="4"/>
      <c r="AC16" s="4"/>
      <c r="AD16" s="4"/>
      <c r="AE16" s="4"/>
      <c r="AF16" s="21"/>
      <c r="AG16" s="4"/>
      <c r="AJ16" s="4"/>
      <c r="AK16" s="4"/>
      <c r="AL16" s="15"/>
      <c r="AM16" s="15"/>
      <c r="AN16" s="2"/>
      <c r="AO16" s="4"/>
      <c r="AP16" s="4"/>
      <c r="AQ16" s="4"/>
      <c r="AR16" s="4"/>
      <c r="AS16" s="4"/>
      <c r="AT16" s="4"/>
      <c r="AU16" s="4"/>
      <c r="AV16" s="4"/>
      <c r="AW16" s="4"/>
      <c r="AX16" s="21"/>
      <c r="AY16" s="4"/>
      <c r="BB16" s="4"/>
      <c r="BC16" s="4"/>
      <c r="BD16" s="15"/>
      <c r="BE16" s="15"/>
      <c r="BF16" s="2"/>
      <c r="BG16" s="4"/>
      <c r="BH16" s="4"/>
      <c r="BI16" s="4"/>
      <c r="BJ16" s="4"/>
      <c r="BK16" s="4"/>
      <c r="BL16" s="4"/>
      <c r="BM16" s="4"/>
      <c r="BN16" s="4"/>
      <c r="BO16" s="4"/>
      <c r="BP16" s="21"/>
      <c r="BQ16" s="4"/>
      <c r="BT16" s="4"/>
      <c r="BU16" s="4"/>
      <c r="BV16" s="15"/>
      <c r="BW16" s="15"/>
      <c r="BX16" s="2"/>
      <c r="BY16" s="4"/>
      <c r="BZ16" s="4"/>
      <c r="CA16" s="4"/>
      <c r="CB16" s="4"/>
      <c r="CC16" s="4"/>
      <c r="CD16" s="4"/>
      <c r="CE16" s="4"/>
      <c r="CF16" s="4"/>
      <c r="CG16" s="4"/>
      <c r="CH16" s="21"/>
      <c r="CI16" s="4"/>
      <c r="CL16" s="4"/>
      <c r="CM16" s="4"/>
      <c r="CN16" s="15"/>
      <c r="CO16" s="15"/>
      <c r="CP16" s="2"/>
      <c r="CQ16" s="4"/>
      <c r="CR16" s="4"/>
      <c r="CS16" s="4"/>
      <c r="CT16" s="4"/>
      <c r="CU16" s="4"/>
      <c r="CV16" s="4"/>
      <c r="CW16" s="4"/>
      <c r="CX16" s="4"/>
      <c r="CY16" s="4"/>
      <c r="CZ16" s="21"/>
      <c r="DA16" s="4"/>
      <c r="DD16" s="4"/>
      <c r="DE16" s="4"/>
      <c r="DF16" s="15"/>
      <c r="DG16" s="15"/>
      <c r="DH16" s="2"/>
      <c r="DI16" s="4"/>
      <c r="DJ16" s="4"/>
      <c r="DK16" s="4"/>
      <c r="DL16" s="4"/>
      <c r="DM16" s="4"/>
      <c r="DN16" s="4"/>
      <c r="DO16" s="4"/>
      <c r="DP16" s="4"/>
      <c r="DQ16" s="4"/>
      <c r="DR16" s="21"/>
      <c r="DS16" s="4"/>
      <c r="DX16" s="66"/>
      <c r="DY16" s="66"/>
      <c r="DZ16" s="66"/>
      <c r="EA16" s="66"/>
      <c r="EB16" s="66"/>
      <c r="EC16" s="66"/>
      <c r="ED16" s="66"/>
      <c r="EE16" s="66"/>
      <c r="EF16" s="66"/>
      <c r="EG16" s="66"/>
      <c r="EH16" s="66"/>
      <c r="EI16" s="59"/>
      <c r="EJ16" s="58"/>
      <c r="EK16" s="67"/>
      <c r="EL16" s="58"/>
      <c r="EM16" s="64"/>
      <c r="EN16" s="68"/>
      <c r="EO16" s="25"/>
      <c r="GL16" s="17"/>
    </row>
    <row r="17" spans="2:194" s="17" customFormat="1" ht="31.95" customHeight="1" thickTop="1" thickBot="1" x14ac:dyDescent="0.35">
      <c r="B17" s="16" t="s">
        <v>9</v>
      </c>
      <c r="C17" s="16"/>
      <c r="D17" s="41"/>
      <c r="J17" s="124"/>
      <c r="K17" s="124"/>
      <c r="L17" s="124"/>
      <c r="M17" s="124"/>
      <c r="S17" s="18"/>
      <c r="T17" s="19" t="s">
        <v>19</v>
      </c>
      <c r="U17" s="19"/>
      <c r="V17" s="41"/>
      <c r="W17" s="18"/>
      <c r="X17" s="18"/>
      <c r="Y17" s="18"/>
      <c r="Z17" s="18"/>
      <c r="AA17" s="18"/>
      <c r="AB17" s="124"/>
      <c r="AC17" s="124"/>
      <c r="AD17" s="124"/>
      <c r="AE17" s="124"/>
      <c r="AF17" s="20"/>
      <c r="AG17" s="18"/>
      <c r="AJ17" s="18"/>
      <c r="AK17" s="18"/>
      <c r="AL17" s="19" t="s">
        <v>29</v>
      </c>
      <c r="AM17" s="19"/>
      <c r="AN17" s="41"/>
      <c r="AO17" s="18"/>
      <c r="AP17" s="18"/>
      <c r="AQ17" s="18"/>
      <c r="AR17" s="18"/>
      <c r="AS17" s="18"/>
      <c r="AT17" s="124"/>
      <c r="AU17" s="124"/>
      <c r="AV17" s="124"/>
      <c r="AW17" s="124"/>
      <c r="AX17" s="20"/>
      <c r="AY17" s="18"/>
      <c r="BB17" s="18"/>
      <c r="BC17" s="18"/>
      <c r="BD17" s="19" t="s">
        <v>39</v>
      </c>
      <c r="BE17" s="19"/>
      <c r="BF17" s="41"/>
      <c r="BG17" s="18"/>
      <c r="BH17" s="18"/>
      <c r="BI17" s="18"/>
      <c r="BJ17" s="18"/>
      <c r="BK17" s="18"/>
      <c r="BL17" s="124"/>
      <c r="BM17" s="124"/>
      <c r="BN17" s="124"/>
      <c r="BO17" s="124"/>
      <c r="BP17" s="20"/>
      <c r="BQ17" s="18"/>
      <c r="BT17" s="18"/>
      <c r="BU17" s="18"/>
      <c r="BV17" s="19" t="s">
        <v>49</v>
      </c>
      <c r="BW17" s="19"/>
      <c r="BX17" s="41"/>
      <c r="BY17" s="18"/>
      <c r="BZ17" s="18"/>
      <c r="CA17" s="18"/>
      <c r="CB17" s="18"/>
      <c r="CC17" s="18"/>
      <c r="CD17" s="124"/>
      <c r="CE17" s="124"/>
      <c r="CF17" s="124"/>
      <c r="CG17" s="124"/>
      <c r="CH17" s="20"/>
      <c r="CI17" s="18"/>
      <c r="CL17" s="18"/>
      <c r="CM17" s="18"/>
      <c r="CN17" s="19" t="s">
        <v>59</v>
      </c>
      <c r="CO17" s="19"/>
      <c r="CP17" s="41"/>
      <c r="CQ17" s="18"/>
      <c r="CR17" s="18"/>
      <c r="CS17" s="18"/>
      <c r="CT17" s="18"/>
      <c r="CU17" s="18"/>
      <c r="CV17" s="124"/>
      <c r="CW17" s="124"/>
      <c r="CX17" s="124"/>
      <c r="CY17" s="124"/>
      <c r="CZ17" s="20"/>
      <c r="DA17" s="18"/>
      <c r="DD17" s="4"/>
      <c r="DE17" s="4"/>
      <c r="DF17" s="15" t="s">
        <v>69</v>
      </c>
      <c r="DG17" s="15"/>
      <c r="DH17" s="41"/>
      <c r="DI17" s="4"/>
      <c r="DJ17" s="4"/>
      <c r="DK17" s="4"/>
      <c r="DL17" s="4"/>
      <c r="DM17" s="4"/>
      <c r="DR17" s="21"/>
      <c r="DS17" s="4"/>
      <c r="DX17" s="56" t="s">
        <v>80</v>
      </c>
      <c r="DY17" s="56"/>
      <c r="DZ17" s="81">
        <f>DH19</f>
        <v>0</v>
      </c>
      <c r="EA17" s="81">
        <f>DH11</f>
        <v>0</v>
      </c>
      <c r="EB17" s="81">
        <f>DH5</f>
        <v>0</v>
      </c>
      <c r="EC17" s="81">
        <f>DH21</f>
        <v>0</v>
      </c>
      <c r="ED17" s="81">
        <f>DH13</f>
        <v>0</v>
      </c>
      <c r="EE17" s="81">
        <f>DH17</f>
        <v>0</v>
      </c>
      <c r="EF17" s="81">
        <f>DH7</f>
        <v>0</v>
      </c>
      <c r="EG17" s="81">
        <f>DH15</f>
        <v>0</v>
      </c>
      <c r="EH17" s="81">
        <f>DH9</f>
        <v>0</v>
      </c>
      <c r="EI17" s="59"/>
      <c r="EJ17" s="61"/>
      <c r="EK17" s="62" t="s">
        <v>88</v>
      </c>
      <c r="EL17" s="63"/>
      <c r="EM17" s="64">
        <f>EF19</f>
        <v>0</v>
      </c>
      <c r="EN17" s="65"/>
      <c r="EO17" s="26"/>
    </row>
    <row r="18" spans="2:194" ht="4.95" customHeight="1" thickTop="1" thickBot="1" x14ac:dyDescent="0.35">
      <c r="S18" s="4"/>
      <c r="T18" s="15"/>
      <c r="U18" s="15"/>
      <c r="V18" s="2"/>
      <c r="W18" s="4"/>
      <c r="X18" s="4"/>
      <c r="Y18" s="4"/>
      <c r="Z18" s="4"/>
      <c r="AA18" s="4"/>
      <c r="AB18" s="4"/>
      <c r="AC18" s="4"/>
      <c r="AD18" s="4"/>
      <c r="AE18" s="4"/>
      <c r="AF18" s="4"/>
      <c r="AG18" s="4"/>
      <c r="AJ18" s="4"/>
      <c r="AK18" s="4"/>
      <c r="AL18" s="15"/>
      <c r="AM18" s="15"/>
      <c r="AN18" s="2"/>
      <c r="AO18" s="4"/>
      <c r="AP18" s="4"/>
      <c r="AQ18" s="4"/>
      <c r="AR18" s="4"/>
      <c r="AS18" s="4"/>
      <c r="AT18" s="4"/>
      <c r="AU18" s="4"/>
      <c r="AV18" s="4"/>
      <c r="AW18" s="4"/>
      <c r="AX18" s="4"/>
      <c r="AY18" s="4"/>
      <c r="BB18" s="4"/>
      <c r="BC18" s="4"/>
      <c r="BD18" s="15"/>
      <c r="BE18" s="15"/>
      <c r="BF18" s="2"/>
      <c r="BG18" s="4"/>
      <c r="BH18" s="4"/>
      <c r="BI18" s="4"/>
      <c r="BJ18" s="4"/>
      <c r="BK18" s="4"/>
      <c r="BL18" s="4"/>
      <c r="BM18" s="4"/>
      <c r="BN18" s="4"/>
      <c r="BO18" s="4"/>
      <c r="BP18" s="4"/>
      <c r="BQ18" s="4"/>
      <c r="BT18" s="4"/>
      <c r="BU18" s="4"/>
      <c r="BV18" s="15"/>
      <c r="BW18" s="15"/>
      <c r="BX18" s="2"/>
      <c r="BY18" s="4"/>
      <c r="BZ18" s="4"/>
      <c r="CA18" s="4"/>
      <c r="CB18" s="4"/>
      <c r="CC18" s="4"/>
      <c r="CD18" s="4"/>
      <c r="CE18" s="4"/>
      <c r="CF18" s="4"/>
      <c r="CG18" s="4"/>
      <c r="CH18" s="4"/>
      <c r="CI18" s="4"/>
      <c r="CL18" s="4"/>
      <c r="CM18" s="4"/>
      <c r="CN18" s="15"/>
      <c r="CO18" s="15"/>
      <c r="CP18" s="2"/>
      <c r="CQ18" s="4"/>
      <c r="CR18" s="4"/>
      <c r="CS18" s="4"/>
      <c r="CT18" s="4"/>
      <c r="CU18" s="4"/>
      <c r="CV18" s="4"/>
      <c r="CW18" s="4"/>
      <c r="CX18" s="4"/>
      <c r="CY18" s="4"/>
      <c r="CZ18" s="4"/>
      <c r="DA18" s="4"/>
      <c r="DD18" s="4"/>
      <c r="DE18" s="4"/>
      <c r="DF18" s="15"/>
      <c r="DG18" s="15"/>
      <c r="DH18" s="2"/>
      <c r="DI18" s="4"/>
      <c r="DJ18" s="4"/>
      <c r="DK18" s="4"/>
      <c r="DL18" s="4"/>
      <c r="DM18" s="4"/>
      <c r="DN18" s="4"/>
      <c r="DO18" s="4"/>
      <c r="DP18" s="4"/>
      <c r="DQ18" s="4"/>
      <c r="DR18" s="4"/>
      <c r="DS18" s="4"/>
      <c r="DX18" s="66"/>
      <c r="DY18" s="56"/>
      <c r="DZ18" s="66"/>
      <c r="EA18" s="66"/>
      <c r="EB18" s="66"/>
      <c r="EC18" s="66"/>
      <c r="ED18" s="66"/>
      <c r="EE18" s="66"/>
      <c r="EF18" s="66"/>
      <c r="EG18" s="66"/>
      <c r="EH18" s="66"/>
      <c r="EI18" s="59"/>
      <c r="EJ18" s="58"/>
      <c r="EK18" s="67"/>
      <c r="EL18" s="58"/>
      <c r="EM18" s="64"/>
      <c r="EN18" s="68"/>
      <c r="EO18" s="25"/>
      <c r="GL18" s="17"/>
    </row>
    <row r="19" spans="2:194" s="17" customFormat="1" ht="31.95" customHeight="1" thickTop="1" thickBot="1" x14ac:dyDescent="0.35">
      <c r="B19" s="16" t="s">
        <v>10</v>
      </c>
      <c r="C19" s="16"/>
      <c r="D19" s="41"/>
      <c r="S19" s="18"/>
      <c r="T19" s="19" t="s">
        <v>20</v>
      </c>
      <c r="U19" s="19"/>
      <c r="V19" s="41"/>
      <c r="W19" s="18"/>
      <c r="X19" s="18"/>
      <c r="Y19" s="18"/>
      <c r="Z19" s="18"/>
      <c r="AA19" s="18"/>
      <c r="AB19" s="18"/>
      <c r="AC19" s="18"/>
      <c r="AD19" s="18"/>
      <c r="AE19" s="18"/>
      <c r="AF19" s="18"/>
      <c r="AG19" s="18"/>
      <c r="AJ19" s="18"/>
      <c r="AK19" s="18"/>
      <c r="AL19" s="19" t="s">
        <v>30</v>
      </c>
      <c r="AM19" s="19"/>
      <c r="AN19" s="41"/>
      <c r="AO19" s="18"/>
      <c r="AP19" s="18"/>
      <c r="AQ19" s="18"/>
      <c r="AR19" s="18"/>
      <c r="AS19" s="18"/>
      <c r="AT19" s="18"/>
      <c r="AU19" s="18"/>
      <c r="AV19" s="18"/>
      <c r="AW19" s="18"/>
      <c r="AX19" s="18"/>
      <c r="AY19" s="18"/>
      <c r="BB19" s="18"/>
      <c r="BC19" s="18"/>
      <c r="BD19" s="19" t="s">
        <v>40</v>
      </c>
      <c r="BE19" s="19"/>
      <c r="BF19" s="41"/>
      <c r="BG19" s="18"/>
      <c r="BH19" s="18"/>
      <c r="BI19" s="18"/>
      <c r="BJ19" s="18"/>
      <c r="BK19" s="18"/>
      <c r="BL19" s="18"/>
      <c r="BM19" s="18"/>
      <c r="BN19" s="18"/>
      <c r="BO19" s="18"/>
      <c r="BP19" s="18"/>
      <c r="BQ19" s="18"/>
      <c r="BT19" s="18"/>
      <c r="BU19" s="18"/>
      <c r="BV19" s="19" t="s">
        <v>50</v>
      </c>
      <c r="BW19" s="19"/>
      <c r="BX19" s="41"/>
      <c r="BY19" s="18"/>
      <c r="BZ19" s="18"/>
      <c r="CA19" s="18"/>
      <c r="CB19" s="18"/>
      <c r="CC19" s="18"/>
      <c r="CD19" s="18"/>
      <c r="CE19" s="18"/>
      <c r="CF19" s="18"/>
      <c r="CG19" s="18"/>
      <c r="CH19" s="18"/>
      <c r="CI19" s="18"/>
      <c r="CL19" s="18"/>
      <c r="CM19" s="18"/>
      <c r="CN19" s="19" t="s">
        <v>60</v>
      </c>
      <c r="CO19" s="19"/>
      <c r="CP19" s="41"/>
      <c r="CQ19" s="18"/>
      <c r="CR19" s="18"/>
      <c r="CS19" s="18"/>
      <c r="CT19" s="18"/>
      <c r="CU19" s="18"/>
      <c r="CV19" s="18"/>
      <c r="CW19" s="18"/>
      <c r="CX19" s="18"/>
      <c r="CY19" s="18"/>
      <c r="CZ19" s="18"/>
      <c r="DA19" s="18"/>
      <c r="DD19" s="4"/>
      <c r="DE19" s="4"/>
      <c r="DF19" s="15" t="s">
        <v>70</v>
      </c>
      <c r="DG19" s="15"/>
      <c r="DH19" s="41"/>
      <c r="DI19" s="4"/>
      <c r="DJ19" s="4"/>
      <c r="DK19" s="4"/>
      <c r="DL19" s="4"/>
      <c r="DM19" s="4"/>
      <c r="DN19" s="4"/>
      <c r="DO19" s="4"/>
      <c r="DP19" s="4"/>
      <c r="DQ19" s="4"/>
      <c r="DR19" s="4"/>
      <c r="DS19" s="4"/>
      <c r="DX19" s="76" t="s">
        <v>73</v>
      </c>
      <c r="DY19" s="77"/>
      <c r="DZ19" s="78">
        <f t="shared" ref="DZ19:EH19" si="0">SUM(DZ5:DZ17)</f>
        <v>0</v>
      </c>
      <c r="EA19" s="78">
        <f t="shared" si="0"/>
        <v>0</v>
      </c>
      <c r="EB19" s="78">
        <f t="shared" si="0"/>
        <v>0</v>
      </c>
      <c r="EC19" s="78">
        <f t="shared" si="0"/>
        <v>0</v>
      </c>
      <c r="ED19" s="78">
        <f t="shared" si="0"/>
        <v>0</v>
      </c>
      <c r="EE19" s="78">
        <f t="shared" si="0"/>
        <v>0</v>
      </c>
      <c r="EF19" s="78">
        <f t="shared" si="0"/>
        <v>0</v>
      </c>
      <c r="EG19" s="78">
        <f t="shared" si="0"/>
        <v>0</v>
      </c>
      <c r="EH19" s="79">
        <f t="shared" si="0"/>
        <v>0</v>
      </c>
      <c r="EI19" s="69" t="str">
        <f>IF(SUM(DZ19:EH19)=70,"OK","Checksum NOK")</f>
        <v>Checksum NOK</v>
      </c>
      <c r="EJ19" s="61"/>
      <c r="EK19" s="74" t="s">
        <v>89</v>
      </c>
      <c r="EL19" s="75"/>
      <c r="EM19" s="64">
        <f>EG19</f>
        <v>0</v>
      </c>
      <c r="EN19" s="65"/>
      <c r="EO19" s="26"/>
    </row>
    <row r="20" spans="2:194" ht="4.95" customHeight="1" thickTop="1" thickBot="1" x14ac:dyDescent="0.35">
      <c r="S20" s="4"/>
      <c r="T20" s="15"/>
      <c r="U20" s="15"/>
      <c r="V20" s="2"/>
      <c r="W20" s="4"/>
      <c r="X20" s="4"/>
      <c r="Y20" s="4"/>
      <c r="Z20" s="4"/>
      <c r="AA20" s="4"/>
      <c r="AB20" s="4"/>
      <c r="AC20" s="4"/>
      <c r="AD20" s="4"/>
      <c r="AE20" s="4"/>
      <c r="AF20" s="4"/>
      <c r="AG20" s="4"/>
      <c r="AJ20" s="4"/>
      <c r="AK20" s="4"/>
      <c r="AL20" s="15"/>
      <c r="AM20" s="15"/>
      <c r="AN20" s="2"/>
      <c r="AO20" s="4"/>
      <c r="AP20" s="4"/>
      <c r="AQ20" s="4"/>
      <c r="AR20" s="4"/>
      <c r="AS20" s="4"/>
      <c r="AT20" s="4"/>
      <c r="AU20" s="4"/>
      <c r="AV20" s="4"/>
      <c r="AW20" s="4"/>
      <c r="AX20" s="4"/>
      <c r="AY20" s="4"/>
      <c r="BB20" s="4"/>
      <c r="BC20" s="4"/>
      <c r="BD20" s="15"/>
      <c r="BE20" s="15"/>
      <c r="BF20" s="2"/>
      <c r="BG20" s="4"/>
      <c r="BH20" s="4"/>
      <c r="BI20" s="4"/>
      <c r="BJ20" s="4"/>
      <c r="BK20" s="4"/>
      <c r="BL20" s="4"/>
      <c r="BM20" s="4"/>
      <c r="BN20" s="4"/>
      <c r="BO20" s="4"/>
      <c r="BP20" s="4"/>
      <c r="BQ20" s="4"/>
      <c r="BT20" s="4"/>
      <c r="BU20" s="4"/>
      <c r="BV20" s="15"/>
      <c r="BW20" s="15"/>
      <c r="BX20" s="2"/>
      <c r="BY20" s="4"/>
      <c r="BZ20" s="4"/>
      <c r="CA20" s="4"/>
      <c r="CB20" s="4"/>
      <c r="CC20" s="4"/>
      <c r="CD20" s="4"/>
      <c r="CE20" s="4"/>
      <c r="CF20" s="4"/>
      <c r="CG20" s="4"/>
      <c r="CH20" s="4"/>
      <c r="CI20" s="4"/>
      <c r="CL20" s="4"/>
      <c r="CM20" s="4"/>
      <c r="CN20" s="15"/>
      <c r="CO20" s="15"/>
      <c r="CP20" s="2"/>
      <c r="CQ20" s="4"/>
      <c r="CR20" s="4"/>
      <c r="CS20" s="4"/>
      <c r="CT20" s="4"/>
      <c r="CU20" s="4"/>
      <c r="CV20" s="4"/>
      <c r="CW20" s="4"/>
      <c r="CX20" s="4"/>
      <c r="CY20" s="4"/>
      <c r="CZ20" s="4"/>
      <c r="DA20" s="4"/>
      <c r="DD20" s="4"/>
      <c r="DE20" s="4"/>
      <c r="DF20" s="15"/>
      <c r="DG20" s="15"/>
      <c r="DH20" s="2"/>
      <c r="DI20" s="4"/>
      <c r="DJ20" s="4"/>
      <c r="DK20" s="4"/>
      <c r="DL20" s="4"/>
      <c r="DM20" s="4"/>
      <c r="DN20" s="4"/>
      <c r="DO20" s="4"/>
      <c r="DP20" s="4"/>
      <c r="DQ20" s="4"/>
      <c r="DR20" s="4"/>
      <c r="DS20" s="4"/>
      <c r="DX20" s="58"/>
      <c r="DY20" s="58"/>
      <c r="DZ20" s="58"/>
      <c r="EA20" s="58"/>
      <c r="EB20" s="70"/>
      <c r="EC20" s="70"/>
      <c r="ED20" s="70"/>
      <c r="EE20" s="70"/>
      <c r="EF20" s="70"/>
      <c r="EG20" s="70"/>
      <c r="EH20" s="70"/>
      <c r="EI20" s="59"/>
      <c r="EJ20" s="58"/>
      <c r="EK20" s="67"/>
      <c r="EL20" s="58"/>
      <c r="EM20" s="64"/>
      <c r="EN20" s="68"/>
      <c r="EO20" s="25"/>
      <c r="GL20" s="17"/>
    </row>
    <row r="21" spans="2:194" s="17" customFormat="1" ht="31.95" customHeight="1" thickTop="1" thickBot="1" x14ac:dyDescent="0.35">
      <c r="B21" s="16" t="s">
        <v>11</v>
      </c>
      <c r="C21" s="16"/>
      <c r="D21" s="41"/>
      <c r="S21" s="18"/>
      <c r="T21" s="19" t="s">
        <v>21</v>
      </c>
      <c r="U21" s="19"/>
      <c r="V21" s="41"/>
      <c r="W21" s="18"/>
      <c r="X21" s="18"/>
      <c r="Y21" s="18"/>
      <c r="Z21" s="18"/>
      <c r="AA21" s="18"/>
      <c r="AB21" s="18"/>
      <c r="AC21" s="18"/>
      <c r="AD21" s="18"/>
      <c r="AE21" s="18"/>
      <c r="AF21" s="18"/>
      <c r="AG21" s="18"/>
      <c r="AJ21" s="18"/>
      <c r="AK21" s="18"/>
      <c r="AL21" s="19" t="s">
        <v>31</v>
      </c>
      <c r="AM21" s="19"/>
      <c r="AN21" s="41"/>
      <c r="AO21" s="18"/>
      <c r="AP21" s="18"/>
      <c r="AQ21" s="18"/>
      <c r="AR21" s="18"/>
      <c r="AS21" s="18"/>
      <c r="AT21" s="18"/>
      <c r="AU21" s="18"/>
      <c r="AV21" s="18"/>
      <c r="AW21" s="18"/>
      <c r="AX21" s="18"/>
      <c r="AY21" s="18"/>
      <c r="BB21" s="18"/>
      <c r="BC21" s="18"/>
      <c r="BD21" s="19" t="s">
        <v>41</v>
      </c>
      <c r="BE21" s="19"/>
      <c r="BF21" s="41"/>
      <c r="BG21" s="18"/>
      <c r="BH21" s="18"/>
      <c r="BI21" s="18"/>
      <c r="BJ21" s="18"/>
      <c r="BK21" s="18"/>
      <c r="BL21" s="18"/>
      <c r="BM21" s="18"/>
      <c r="BN21" s="18"/>
      <c r="BO21" s="18"/>
      <c r="BP21" s="18"/>
      <c r="BQ21" s="18"/>
      <c r="BT21" s="18"/>
      <c r="BU21" s="18"/>
      <c r="BV21" s="19" t="s">
        <v>51</v>
      </c>
      <c r="BW21" s="19"/>
      <c r="BX21" s="41"/>
      <c r="BY21" s="18"/>
      <c r="BZ21" s="18"/>
      <c r="CA21" s="18"/>
      <c r="CB21" s="18"/>
      <c r="CC21" s="18"/>
      <c r="CD21" s="18"/>
      <c r="CE21" s="18"/>
      <c r="CF21" s="18"/>
      <c r="CG21" s="18"/>
      <c r="CH21" s="18"/>
      <c r="CI21" s="18"/>
      <c r="CL21" s="18"/>
      <c r="CM21" s="18"/>
      <c r="CN21" s="19" t="s">
        <v>61</v>
      </c>
      <c r="CO21" s="19"/>
      <c r="CP21" s="41"/>
      <c r="CQ21" s="18"/>
      <c r="CR21" s="18"/>
      <c r="CS21" s="18"/>
      <c r="CT21" s="18"/>
      <c r="CU21" s="18"/>
      <c r="CV21" s="18"/>
      <c r="CW21" s="18"/>
      <c r="CX21" s="18"/>
      <c r="CY21" s="18"/>
      <c r="CZ21" s="18"/>
      <c r="DA21" s="18"/>
      <c r="DD21" s="4"/>
      <c r="DE21" s="4"/>
      <c r="DF21" s="15" t="s">
        <v>71</v>
      </c>
      <c r="DG21" s="15"/>
      <c r="DH21" s="41"/>
      <c r="DI21" s="4"/>
      <c r="DJ21" s="4"/>
      <c r="DK21" s="4"/>
      <c r="DL21" s="4"/>
      <c r="DM21" s="4"/>
      <c r="DN21" s="4"/>
      <c r="DO21" s="4"/>
      <c r="DP21" s="4"/>
      <c r="DQ21" s="4"/>
      <c r="DR21" s="4"/>
      <c r="DS21" s="4"/>
      <c r="DX21" s="56" t="s">
        <v>91</v>
      </c>
      <c r="DY21" s="55"/>
      <c r="DZ21" s="55"/>
      <c r="EA21" s="55"/>
      <c r="EB21" s="70"/>
      <c r="EC21" s="70"/>
      <c r="ED21" s="70"/>
      <c r="EE21" s="70"/>
      <c r="EF21" s="70"/>
      <c r="EG21" s="70"/>
      <c r="EH21" s="70"/>
      <c r="EI21" s="59"/>
      <c r="EJ21" s="61"/>
      <c r="EK21" s="62" t="s">
        <v>90</v>
      </c>
      <c r="EL21" s="63"/>
      <c r="EM21" s="64">
        <f>EH19</f>
        <v>0</v>
      </c>
      <c r="EN21" s="65"/>
      <c r="EO21" s="26"/>
    </row>
    <row r="22" spans="2:194" ht="4.95" customHeight="1" thickTop="1" x14ac:dyDescent="0.3">
      <c r="D22" s="42"/>
      <c r="V22" s="42"/>
      <c r="AJ22" s="4"/>
      <c r="AK22" s="4"/>
      <c r="AL22" s="5"/>
      <c r="AM22" s="5"/>
      <c r="AN22" s="42"/>
      <c r="AO22" s="4"/>
      <c r="AP22" s="4"/>
      <c r="AQ22" s="4"/>
      <c r="AR22" s="4"/>
      <c r="AS22" s="4"/>
      <c r="AT22" s="4"/>
      <c r="AU22" s="4"/>
      <c r="AV22" s="4"/>
      <c r="AW22" s="4"/>
      <c r="AX22" s="4"/>
      <c r="AY22" s="4"/>
      <c r="BB22" s="4"/>
      <c r="BC22" s="4"/>
      <c r="BD22" s="5"/>
      <c r="BE22" s="5"/>
      <c r="BF22" s="42"/>
      <c r="BG22" s="4"/>
      <c r="BH22" s="4"/>
      <c r="BI22" s="4"/>
      <c r="BJ22" s="4"/>
      <c r="BK22" s="4"/>
      <c r="BL22" s="4"/>
      <c r="BM22" s="4"/>
      <c r="BN22" s="4"/>
      <c r="BO22" s="4"/>
      <c r="BP22" s="4"/>
      <c r="BQ22" s="4"/>
      <c r="BT22" s="4"/>
      <c r="BU22" s="4"/>
      <c r="BV22" s="5"/>
      <c r="BW22" s="5"/>
      <c r="BX22" s="42"/>
      <c r="BY22" s="4"/>
      <c r="BZ22" s="4"/>
      <c r="CA22" s="4"/>
      <c r="CB22" s="4"/>
      <c r="CC22" s="4"/>
      <c r="CD22" s="4"/>
      <c r="CE22" s="4"/>
      <c r="CF22" s="4"/>
      <c r="CG22" s="4"/>
      <c r="CH22" s="4"/>
      <c r="CI22" s="4"/>
      <c r="CL22" s="4"/>
      <c r="CM22" s="4"/>
      <c r="CN22" s="15"/>
      <c r="CO22" s="15"/>
      <c r="CP22" s="42"/>
      <c r="CQ22" s="4"/>
      <c r="CR22" s="4"/>
      <c r="CS22" s="4"/>
      <c r="CT22" s="4"/>
      <c r="CU22" s="4"/>
      <c r="CV22" s="4"/>
      <c r="CW22" s="4"/>
      <c r="CX22" s="4"/>
      <c r="CY22" s="4"/>
      <c r="CZ22" s="4"/>
      <c r="DA22" s="4"/>
      <c r="DD22" s="4"/>
      <c r="DE22" s="4"/>
      <c r="DF22" s="5"/>
      <c r="DG22" s="5"/>
      <c r="DH22" s="42"/>
      <c r="DI22" s="4"/>
      <c r="DJ22" s="4"/>
      <c r="DK22" s="4"/>
      <c r="DL22" s="4"/>
      <c r="DM22" s="4"/>
      <c r="DN22" s="4"/>
      <c r="DO22" s="4"/>
      <c r="DP22" s="4"/>
      <c r="DQ22" s="4"/>
      <c r="DR22" s="4"/>
      <c r="DS22" s="4"/>
      <c r="DX22" s="58"/>
      <c r="DY22" s="58"/>
      <c r="DZ22" s="58"/>
      <c r="EA22" s="70"/>
      <c r="EB22" s="70"/>
      <c r="EC22" s="70"/>
      <c r="ED22" s="70"/>
      <c r="EE22" s="70"/>
      <c r="EF22" s="70"/>
      <c r="EG22" s="70"/>
      <c r="EH22" s="70"/>
      <c r="EI22" s="59"/>
      <c r="EJ22" s="55"/>
      <c r="EK22" s="55"/>
      <c r="EL22" s="55"/>
      <c r="EM22" s="55"/>
      <c r="EN22" s="55"/>
      <c r="GL22" s="17"/>
    </row>
    <row r="23" spans="2:194" ht="12.75" customHeight="1" x14ac:dyDescent="0.3">
      <c r="F23" s="122"/>
      <c r="G23" s="122"/>
      <c r="H23" s="122"/>
      <c r="I23" s="122"/>
      <c r="J23" s="122"/>
      <c r="K23" s="122"/>
      <c r="L23" s="122"/>
      <c r="M23" s="122"/>
      <c r="N23" s="122"/>
      <c r="DX23" s="58"/>
      <c r="DY23" s="58"/>
      <c r="DZ23" s="58"/>
      <c r="EA23" s="71"/>
      <c r="EB23" s="70"/>
      <c r="EC23" s="70"/>
      <c r="ED23" s="70"/>
      <c r="EE23" s="70"/>
      <c r="EF23" s="70"/>
      <c r="EG23" s="70"/>
      <c r="EH23" s="70"/>
      <c r="EI23" s="59"/>
      <c r="EJ23" s="58"/>
      <c r="EK23" s="58"/>
      <c r="EL23" s="58"/>
      <c r="EM23" s="58"/>
      <c r="EN23" s="58"/>
      <c r="GL23" s="17"/>
    </row>
    <row r="24" spans="2:194" s="17" customFormat="1" ht="19.95" customHeight="1" x14ac:dyDescent="0.3">
      <c r="B24" s="16"/>
      <c r="C24" s="16"/>
      <c r="D24" s="2"/>
      <c r="F24" s="122"/>
      <c r="G24" s="122"/>
      <c r="H24" s="122"/>
      <c r="I24" s="122"/>
      <c r="J24" s="122"/>
      <c r="K24" s="122"/>
      <c r="L24" s="122"/>
      <c r="M24" s="122"/>
      <c r="N24" s="122"/>
      <c r="DX24" s="55"/>
      <c r="DY24" s="55"/>
      <c r="DZ24" s="55"/>
      <c r="EA24" s="55"/>
      <c r="EB24" s="72"/>
      <c r="EC24" s="72"/>
      <c r="ED24" s="72"/>
      <c r="EE24" s="72"/>
      <c r="EF24" s="72"/>
      <c r="EG24" s="72"/>
      <c r="EH24" s="72"/>
      <c r="EI24" s="62"/>
      <c r="EJ24" s="55"/>
      <c r="EK24" s="55"/>
      <c r="EL24" s="55"/>
      <c r="EM24" s="55"/>
      <c r="EN24" s="55"/>
    </row>
    <row r="25" spans="2:194" s="17" customFormat="1" ht="19.95" customHeight="1" x14ac:dyDescent="0.3">
      <c r="B25" s="16"/>
      <c r="C25" s="16"/>
      <c r="D25" s="2"/>
      <c r="F25" s="122"/>
      <c r="G25" s="122"/>
      <c r="H25" s="122"/>
      <c r="I25" s="122"/>
      <c r="J25" s="122"/>
      <c r="K25" s="122"/>
      <c r="L25" s="122"/>
      <c r="M25" s="122"/>
      <c r="N25" s="122"/>
      <c r="DX25" s="55"/>
      <c r="DY25" s="55"/>
      <c r="DZ25" s="55"/>
      <c r="EA25" s="55"/>
      <c r="EB25" s="72"/>
      <c r="EC25" s="72"/>
      <c r="ED25" s="72"/>
      <c r="EE25" s="72"/>
      <c r="EF25" s="72"/>
      <c r="EG25" s="72"/>
      <c r="EH25" s="72"/>
      <c r="EI25" s="62"/>
      <c r="EJ25" s="55"/>
      <c r="EK25" s="55"/>
      <c r="EL25" s="55"/>
      <c r="EM25" s="55"/>
      <c r="EN25" s="55"/>
    </row>
    <row r="26" spans="2:194" s="17" customFormat="1" ht="19.95" customHeight="1" x14ac:dyDescent="0.3">
      <c r="B26" s="16"/>
      <c r="C26" s="16"/>
      <c r="D26" s="2"/>
      <c r="DX26" s="55"/>
      <c r="DY26" s="55"/>
      <c r="DZ26" s="55"/>
      <c r="EA26" s="55"/>
      <c r="EB26" s="55"/>
      <c r="EC26" s="55"/>
      <c r="ED26" s="55"/>
      <c r="EE26" s="55"/>
      <c r="EF26" s="55"/>
      <c r="EG26" s="55"/>
      <c r="EH26" s="55"/>
      <c r="EI26" s="55"/>
      <c r="EJ26" s="55"/>
      <c r="EK26" s="55"/>
      <c r="EL26" s="55"/>
      <c r="EM26" s="55"/>
      <c r="EN26" s="55"/>
    </row>
    <row r="27" spans="2:194" s="17" customFormat="1" ht="19.95" customHeight="1" x14ac:dyDescent="0.3">
      <c r="B27" s="16"/>
      <c r="C27" s="16"/>
      <c r="D27" s="2"/>
      <c r="DX27" s="55"/>
      <c r="DY27" s="55"/>
      <c r="DZ27" s="55"/>
      <c r="EA27" s="55"/>
      <c r="EB27" s="55"/>
      <c r="EC27" s="55"/>
      <c r="ED27" s="55"/>
      <c r="EE27" s="55"/>
      <c r="EF27" s="55"/>
      <c r="EG27" s="55"/>
      <c r="EH27" s="55"/>
      <c r="EI27" s="55"/>
      <c r="EJ27" s="55"/>
      <c r="EK27" s="55"/>
      <c r="EL27" s="55"/>
      <c r="EM27" s="55"/>
      <c r="EN27" s="55"/>
    </row>
    <row r="28" spans="2:194" s="17" customFormat="1" ht="19.95" customHeight="1" x14ac:dyDescent="0.3">
      <c r="B28" s="16"/>
      <c r="C28" s="16"/>
      <c r="D28" s="2"/>
      <c r="DX28" s="55"/>
      <c r="DY28" s="55"/>
      <c r="DZ28" s="55"/>
      <c r="EA28" s="55"/>
      <c r="EB28" s="55"/>
      <c r="EC28" s="55"/>
      <c r="ED28" s="55"/>
      <c r="EE28" s="55"/>
      <c r="EF28" s="55"/>
      <c r="EG28" s="55"/>
      <c r="EH28" s="55"/>
      <c r="EI28" s="55"/>
      <c r="EJ28" s="55"/>
      <c r="EK28" s="55"/>
      <c r="EL28" s="55"/>
      <c r="EM28" s="55"/>
      <c r="EN28" s="55"/>
    </row>
    <row r="29" spans="2:194" s="17" customFormat="1" ht="19.95" customHeight="1" x14ac:dyDescent="0.3">
      <c r="B29" s="16"/>
      <c r="C29" s="16"/>
      <c r="D29" s="2"/>
      <c r="P29" s="18"/>
      <c r="Q29" s="18"/>
      <c r="R29" s="18"/>
      <c r="S29" s="18"/>
      <c r="DX29" s="55"/>
      <c r="DY29" s="55"/>
      <c r="DZ29" s="55"/>
      <c r="EA29" s="55"/>
      <c r="EB29" s="55"/>
      <c r="EC29" s="55"/>
      <c r="ED29" s="55"/>
      <c r="EE29" s="55"/>
      <c r="EF29" s="55"/>
      <c r="EG29" s="55"/>
      <c r="EH29" s="55"/>
      <c r="EI29" s="55"/>
      <c r="EJ29" s="55"/>
      <c r="EK29" s="55"/>
      <c r="EL29" s="55"/>
      <c r="EM29" s="55"/>
      <c r="EN29" s="55"/>
    </row>
    <row r="30" spans="2:194" s="17" customFormat="1" ht="19.95" customHeight="1" x14ac:dyDescent="0.3">
      <c r="B30" s="16"/>
      <c r="C30" s="16"/>
      <c r="D30" s="2"/>
      <c r="P30" s="10"/>
      <c r="Q30" s="10"/>
      <c r="R30" s="10"/>
      <c r="S30" s="10"/>
      <c r="DX30" s="55"/>
      <c r="DY30" s="55"/>
      <c r="DZ30" s="55"/>
      <c r="EA30" s="55"/>
      <c r="EB30" s="55"/>
      <c r="EC30" s="55"/>
      <c r="ED30" s="55"/>
      <c r="EE30" s="55"/>
      <c r="EF30" s="55"/>
      <c r="EG30" s="55"/>
      <c r="EH30" s="55"/>
      <c r="EI30" s="55"/>
      <c r="EJ30" s="55"/>
      <c r="EK30" s="55"/>
      <c r="EL30" s="55"/>
      <c r="EM30" s="55"/>
      <c r="EN30" s="55"/>
    </row>
    <row r="31" spans="2:194" s="17" customFormat="1" ht="19.95" customHeight="1" x14ac:dyDescent="0.3">
      <c r="B31" s="16"/>
      <c r="C31" s="16"/>
      <c r="D31" s="2"/>
      <c r="P31" s="18"/>
      <c r="Q31" s="18"/>
      <c r="R31" s="18"/>
      <c r="S31" s="18"/>
      <c r="DX31" s="55"/>
      <c r="DY31" s="55"/>
      <c r="DZ31" s="55"/>
      <c r="EA31" s="55"/>
      <c r="EB31" s="55"/>
      <c r="EC31" s="55"/>
      <c r="ED31" s="55"/>
      <c r="EE31" s="55"/>
      <c r="EF31" s="55"/>
      <c r="EG31" s="55"/>
      <c r="EH31" s="55"/>
      <c r="EI31" s="55"/>
      <c r="EJ31" s="55"/>
      <c r="EK31" s="55"/>
      <c r="EL31" s="55"/>
      <c r="EM31" s="55"/>
      <c r="EN31" s="55"/>
    </row>
    <row r="32" spans="2:194" s="17" customFormat="1" ht="19.95" customHeight="1" x14ac:dyDescent="0.3">
      <c r="B32" s="16"/>
      <c r="C32" s="16"/>
      <c r="D32" s="2"/>
      <c r="P32" s="18"/>
      <c r="Q32" s="18"/>
      <c r="R32" s="18"/>
      <c r="S32" s="18"/>
      <c r="DX32" s="55"/>
      <c r="DY32" s="55"/>
      <c r="DZ32" s="55"/>
      <c r="EA32" s="55"/>
      <c r="EB32" s="55"/>
      <c r="EC32" s="55"/>
      <c r="ED32" s="55"/>
      <c r="EE32" s="55"/>
      <c r="EF32" s="55"/>
      <c r="EG32" s="55"/>
      <c r="EH32" s="55"/>
      <c r="EI32" s="55"/>
      <c r="EJ32" s="55"/>
      <c r="EK32" s="55"/>
      <c r="EL32" s="55"/>
      <c r="EM32" s="55"/>
      <c r="EN32" s="55"/>
    </row>
    <row r="33" spans="16:144" x14ac:dyDescent="0.3">
      <c r="P33" s="4"/>
      <c r="Q33" s="4"/>
      <c r="R33" s="4"/>
      <c r="S33" s="4"/>
      <c r="DX33" s="58"/>
      <c r="DY33" s="58"/>
      <c r="DZ33" s="58"/>
      <c r="EA33" s="73"/>
      <c r="EB33" s="58"/>
      <c r="EC33" s="58"/>
      <c r="ED33" s="58"/>
      <c r="EE33" s="58"/>
      <c r="EF33" s="58"/>
      <c r="EG33" s="58"/>
      <c r="EH33" s="58"/>
      <c r="EI33" s="58"/>
      <c r="EJ33" s="58"/>
      <c r="EK33" s="58"/>
      <c r="EL33" s="58"/>
      <c r="EM33" s="58"/>
      <c r="EN33" s="58"/>
    </row>
    <row r="34" spans="16:144" x14ac:dyDescent="0.3">
      <c r="P34" s="4"/>
      <c r="Q34" s="4"/>
      <c r="R34" s="4"/>
      <c r="S34" s="4"/>
      <c r="DX34" s="58"/>
      <c r="DY34" s="58"/>
      <c r="DZ34" s="58"/>
      <c r="EA34" s="58"/>
      <c r="EB34" s="58"/>
      <c r="EC34" s="58"/>
      <c r="ED34" s="58"/>
      <c r="EE34" s="58"/>
      <c r="EF34" s="58"/>
      <c r="EG34" s="58"/>
      <c r="EH34" s="58"/>
      <c r="EI34" s="58"/>
      <c r="EJ34" s="58"/>
      <c r="EK34" s="58"/>
      <c r="EL34" s="58"/>
      <c r="EM34" s="58"/>
      <c r="EN34" s="58"/>
    </row>
    <row r="35" spans="16:144" x14ac:dyDescent="0.3">
      <c r="P35" s="4"/>
      <c r="Q35" s="4"/>
      <c r="R35" s="4"/>
      <c r="S35" s="4"/>
      <c r="DX35" s="58"/>
      <c r="DY35" s="58"/>
      <c r="DZ35" s="58"/>
      <c r="EA35" s="58"/>
      <c r="EB35" s="58"/>
      <c r="EC35" s="58"/>
      <c r="ED35" s="58"/>
      <c r="EE35" s="58"/>
      <c r="EF35" s="58"/>
      <c r="EG35" s="58"/>
      <c r="EH35" s="58"/>
      <c r="EI35" s="58"/>
      <c r="EJ35" s="58"/>
      <c r="EK35" s="58"/>
      <c r="EL35" s="58"/>
      <c r="EM35" s="58"/>
      <c r="EN35" s="58"/>
    </row>
    <row r="36" spans="16:144" x14ac:dyDescent="0.3">
      <c r="P36" s="4"/>
      <c r="Q36" s="4"/>
      <c r="R36" s="4"/>
      <c r="S36" s="4"/>
      <c r="DX36" s="58"/>
      <c r="DY36" s="58"/>
      <c r="DZ36" s="58"/>
      <c r="EA36" s="58"/>
      <c r="EB36" s="58"/>
      <c r="EC36" s="58"/>
      <c r="ED36" s="58"/>
      <c r="EE36" s="58"/>
      <c r="EF36" s="58"/>
      <c r="EG36" s="58"/>
      <c r="EH36" s="58"/>
      <c r="EI36" s="58"/>
      <c r="EJ36" s="58"/>
      <c r="EK36" s="58"/>
      <c r="EL36" s="58"/>
      <c r="EM36" s="58"/>
      <c r="EN36" s="58"/>
    </row>
    <row r="37" spans="16:144" x14ac:dyDescent="0.3">
      <c r="P37" s="4"/>
      <c r="Q37" s="4"/>
      <c r="R37" s="4"/>
      <c r="S37" s="4"/>
      <c r="DX37" s="58"/>
      <c r="DY37" s="58"/>
      <c r="DZ37" s="58"/>
      <c r="EA37" s="58"/>
      <c r="EB37" s="58"/>
      <c r="EC37" s="58"/>
      <c r="ED37" s="58"/>
      <c r="EE37" s="58"/>
      <c r="EF37" s="58"/>
      <c r="EG37" s="58"/>
      <c r="EH37" s="58"/>
      <c r="EI37" s="58"/>
      <c r="EJ37" s="58"/>
      <c r="EK37" s="58"/>
      <c r="EL37" s="58"/>
      <c r="EM37" s="58"/>
      <c r="EN37" s="58"/>
    </row>
    <row r="38" spans="16:144" x14ac:dyDescent="0.3">
      <c r="P38" s="4"/>
      <c r="Q38" s="4"/>
      <c r="R38" s="4"/>
      <c r="S38" s="4"/>
      <c r="DX38" s="58"/>
      <c r="DY38" s="58"/>
      <c r="DZ38" s="58"/>
      <c r="EA38" s="58"/>
      <c r="EB38" s="58"/>
      <c r="EC38" s="58"/>
      <c r="ED38" s="58"/>
      <c r="EE38" s="58"/>
      <c r="EF38" s="58"/>
      <c r="EG38" s="58"/>
      <c r="EH38" s="58"/>
      <c r="EI38" s="58"/>
      <c r="EJ38" s="58"/>
      <c r="EK38" s="58"/>
      <c r="EL38" s="58"/>
      <c r="EM38" s="58"/>
      <c r="EN38" s="58"/>
    </row>
    <row r="39" spans="16:144" x14ac:dyDescent="0.3">
      <c r="P39" s="4"/>
      <c r="Q39" s="4"/>
      <c r="R39" s="4"/>
      <c r="S39" s="4"/>
      <c r="DX39" s="58"/>
      <c r="DY39" s="58"/>
      <c r="DZ39" s="58"/>
      <c r="EA39" s="58"/>
      <c r="EB39" s="58"/>
      <c r="EC39" s="58"/>
      <c r="ED39" s="58"/>
      <c r="EE39" s="58"/>
      <c r="EF39" s="58"/>
      <c r="EG39" s="58"/>
      <c r="EH39" s="58"/>
      <c r="EI39" s="58"/>
      <c r="EJ39" s="58"/>
      <c r="EK39" s="58"/>
      <c r="EL39" s="58"/>
      <c r="EM39" s="58"/>
      <c r="EN39" s="58"/>
    </row>
    <row r="40" spans="16:144" x14ac:dyDescent="0.3">
      <c r="P40" s="4"/>
      <c r="Q40" s="4"/>
      <c r="R40" s="4"/>
      <c r="S40" s="4"/>
      <c r="DX40" s="58"/>
      <c r="DY40" s="58"/>
      <c r="DZ40" s="58"/>
      <c r="EA40" s="58"/>
      <c r="EB40" s="58"/>
      <c r="EC40" s="58"/>
      <c r="ED40" s="58"/>
      <c r="EE40" s="58"/>
      <c r="EF40" s="58"/>
      <c r="EG40" s="58"/>
      <c r="EH40" s="58"/>
      <c r="EI40" s="58"/>
      <c r="EJ40" s="58"/>
      <c r="EK40" s="58"/>
      <c r="EL40" s="58"/>
      <c r="EM40" s="58"/>
      <c r="EN40" s="58"/>
    </row>
    <row r="41" spans="16:144" x14ac:dyDescent="0.3">
      <c r="P41" s="4"/>
      <c r="Q41" s="4"/>
      <c r="R41" s="4"/>
      <c r="S41" s="4"/>
      <c r="DX41" s="58"/>
      <c r="DY41" s="58"/>
      <c r="DZ41" s="58"/>
      <c r="EA41" s="58"/>
      <c r="EB41" s="58"/>
      <c r="EC41" s="58"/>
      <c r="ED41" s="58"/>
      <c r="EE41" s="58"/>
      <c r="EF41" s="58"/>
      <c r="EG41" s="58"/>
      <c r="EH41" s="58"/>
      <c r="EI41" s="58"/>
      <c r="EJ41" s="58"/>
      <c r="EK41" s="58"/>
      <c r="EL41" s="58"/>
      <c r="EM41" s="58"/>
      <c r="EN41" s="58"/>
    </row>
    <row r="42" spans="16:144" x14ac:dyDescent="0.3">
      <c r="P42" s="4"/>
      <c r="Q42" s="4"/>
      <c r="R42" s="4"/>
      <c r="S42" s="4"/>
      <c r="DX42" s="58"/>
      <c r="DY42" s="58"/>
      <c r="DZ42" s="58"/>
      <c r="EA42" s="58"/>
      <c r="EB42" s="58"/>
      <c r="EC42" s="58"/>
      <c r="ED42" s="58"/>
      <c r="EE42" s="58"/>
      <c r="EF42" s="58"/>
      <c r="EG42" s="58"/>
      <c r="EH42" s="58"/>
      <c r="EI42" s="58"/>
      <c r="EJ42" s="58"/>
      <c r="EK42" s="58"/>
      <c r="EL42" s="58"/>
      <c r="EM42" s="58"/>
      <c r="EN42" s="58"/>
    </row>
    <row r="43" spans="16:144" x14ac:dyDescent="0.3">
      <c r="P43" s="4"/>
      <c r="Q43" s="4"/>
      <c r="R43" s="4"/>
      <c r="S43" s="4"/>
      <c r="DX43" s="58"/>
      <c r="DY43" s="58"/>
      <c r="DZ43" s="58"/>
      <c r="EA43" s="58"/>
      <c r="EB43" s="58"/>
      <c r="EC43" s="58"/>
      <c r="ED43" s="58"/>
      <c r="EE43" s="58"/>
      <c r="EF43" s="58"/>
      <c r="EG43" s="58"/>
      <c r="EH43" s="58"/>
      <c r="EI43" s="58"/>
      <c r="EJ43" s="58"/>
      <c r="EK43" s="58"/>
      <c r="EL43" s="58"/>
      <c r="EM43" s="58"/>
      <c r="EN43" s="58"/>
    </row>
    <row r="44" spans="16:144" x14ac:dyDescent="0.3">
      <c r="P44" s="4"/>
      <c r="Q44" s="4"/>
      <c r="R44" s="4"/>
      <c r="S44" s="4"/>
      <c r="DX44" s="58"/>
      <c r="DY44" s="58"/>
      <c r="DZ44" s="58"/>
      <c r="EA44" s="58"/>
      <c r="EB44" s="58"/>
      <c r="EC44" s="58"/>
      <c r="ED44" s="58"/>
      <c r="EE44" s="58"/>
      <c r="EF44" s="58"/>
      <c r="EG44" s="58"/>
      <c r="EH44" s="58"/>
      <c r="EI44" s="58"/>
      <c r="EJ44" s="58"/>
      <c r="EK44" s="58"/>
      <c r="EL44" s="58"/>
      <c r="EM44" s="58"/>
      <c r="EN44" s="58"/>
    </row>
    <row r="45" spans="16:144" x14ac:dyDescent="0.3">
      <c r="P45" s="4"/>
      <c r="Q45" s="4"/>
      <c r="R45" s="4"/>
      <c r="S45" s="4"/>
      <c r="DX45" s="58"/>
      <c r="DY45" s="58"/>
      <c r="DZ45" s="58"/>
      <c r="EA45" s="58"/>
      <c r="EB45" s="58"/>
      <c r="EC45" s="58"/>
      <c r="ED45" s="58"/>
      <c r="EE45" s="58"/>
      <c r="EF45" s="58"/>
      <c r="EG45" s="58"/>
      <c r="EH45" s="58"/>
      <c r="EI45" s="58"/>
      <c r="EJ45" s="58"/>
      <c r="EK45" s="58"/>
      <c r="EL45" s="58"/>
      <c r="EM45" s="58"/>
      <c r="EN45" s="58"/>
    </row>
    <row r="46" spans="16:144" x14ac:dyDescent="0.3">
      <c r="P46" s="4"/>
      <c r="Q46" s="4"/>
      <c r="R46" s="4"/>
      <c r="S46" s="4"/>
      <c r="DX46" s="58"/>
      <c r="DY46" s="58"/>
      <c r="DZ46" s="58"/>
      <c r="EA46" s="58"/>
      <c r="EB46" s="58"/>
      <c r="EC46" s="58"/>
      <c r="ED46" s="58"/>
      <c r="EE46" s="58"/>
      <c r="EF46" s="58"/>
      <c r="EG46" s="58"/>
      <c r="EH46" s="58"/>
      <c r="EI46" s="58"/>
      <c r="EJ46" s="58"/>
      <c r="EK46" s="58"/>
      <c r="EL46" s="58"/>
      <c r="EM46" s="58"/>
      <c r="EN46" s="58"/>
    </row>
    <row r="47" spans="16:144" x14ac:dyDescent="0.3">
      <c r="P47" s="4"/>
      <c r="Q47" s="4"/>
      <c r="R47" s="4"/>
      <c r="S47" s="4"/>
      <c r="DX47" s="58"/>
      <c r="DY47" s="58"/>
      <c r="DZ47" s="58"/>
      <c r="EA47" s="58"/>
      <c r="EB47" s="58"/>
      <c r="EC47" s="58"/>
      <c r="ED47" s="58"/>
      <c r="EE47" s="58"/>
      <c r="EF47" s="58"/>
      <c r="EG47" s="58"/>
      <c r="EH47" s="58"/>
      <c r="EI47" s="58"/>
      <c r="EJ47" s="58"/>
      <c r="EK47" s="58"/>
      <c r="EL47" s="58"/>
      <c r="EM47" s="58"/>
      <c r="EN47" s="58"/>
    </row>
    <row r="48" spans="16:144" x14ac:dyDescent="0.3">
      <c r="P48" s="4"/>
      <c r="Q48" s="4"/>
      <c r="R48" s="4"/>
      <c r="S48" s="4"/>
      <c r="DX48" s="58"/>
      <c r="DY48" s="58"/>
      <c r="DZ48" s="58"/>
      <c r="EA48" s="58"/>
      <c r="EB48" s="58"/>
      <c r="EC48" s="58"/>
      <c r="ED48" s="58"/>
      <c r="EE48" s="58"/>
      <c r="EF48" s="58"/>
      <c r="EG48" s="58"/>
      <c r="EH48" s="58"/>
      <c r="EI48" s="58"/>
      <c r="EJ48" s="58"/>
      <c r="EK48" s="58"/>
      <c r="EL48" s="58"/>
      <c r="EM48" s="58"/>
      <c r="EN48" s="58"/>
    </row>
    <row r="49" spans="1:144" x14ac:dyDescent="0.3">
      <c r="A49" s="4"/>
      <c r="B49" s="5"/>
      <c r="C49" s="5"/>
      <c r="D49" s="6"/>
      <c r="E49" s="4"/>
      <c r="F49" s="4"/>
      <c r="G49" s="4"/>
      <c r="H49" s="4"/>
      <c r="I49" s="4"/>
      <c r="J49" s="4"/>
      <c r="K49" s="4"/>
      <c r="L49" s="4"/>
      <c r="M49" s="4"/>
      <c r="N49" s="4"/>
      <c r="O49" s="4"/>
      <c r="P49" s="4"/>
      <c r="Q49" s="4"/>
      <c r="R49" s="4"/>
      <c r="S49" s="4"/>
      <c r="DX49" s="58"/>
      <c r="DY49" s="58"/>
      <c r="DZ49" s="58"/>
      <c r="EA49" s="58"/>
      <c r="EB49" s="58"/>
      <c r="EC49" s="58"/>
      <c r="ED49" s="58"/>
      <c r="EE49" s="58"/>
      <c r="EF49" s="58"/>
      <c r="EG49" s="58"/>
      <c r="EH49" s="58"/>
      <c r="EI49" s="58"/>
      <c r="EJ49" s="58"/>
      <c r="EK49" s="58"/>
      <c r="EL49" s="58"/>
      <c r="EM49" s="58"/>
      <c r="EN49" s="58"/>
    </row>
    <row r="50" spans="1:144" x14ac:dyDescent="0.3">
      <c r="A50" s="4"/>
      <c r="B50" s="5"/>
      <c r="C50" s="5"/>
      <c r="D50" s="6"/>
      <c r="E50" s="4"/>
      <c r="F50" s="123"/>
      <c r="G50" s="123"/>
      <c r="H50" s="123"/>
      <c r="I50" s="123"/>
      <c r="J50" s="123"/>
      <c r="K50" s="123"/>
      <c r="L50" s="123"/>
      <c r="M50" s="123"/>
      <c r="N50" s="123"/>
      <c r="O50" s="4"/>
      <c r="P50" s="4"/>
      <c r="Q50" s="4"/>
      <c r="R50" s="4"/>
      <c r="S50" s="4"/>
      <c r="DX50" s="58"/>
      <c r="DY50" s="58"/>
      <c r="DZ50" s="58"/>
      <c r="EA50" s="58"/>
      <c r="EB50" s="58"/>
      <c r="EC50" s="58"/>
      <c r="ED50" s="58"/>
      <c r="EE50" s="58"/>
      <c r="EF50" s="58"/>
      <c r="EG50" s="58"/>
      <c r="EH50" s="58"/>
      <c r="EI50" s="58"/>
      <c r="EJ50" s="58"/>
      <c r="EK50" s="58"/>
      <c r="EL50" s="58"/>
      <c r="EM50" s="58"/>
      <c r="EN50" s="58"/>
    </row>
    <row r="51" spans="1:144" x14ac:dyDescent="0.3">
      <c r="A51" s="4"/>
      <c r="B51" s="5"/>
      <c r="C51" s="5"/>
      <c r="D51" s="6"/>
      <c r="E51" s="4"/>
      <c r="F51" s="123"/>
      <c r="G51" s="123"/>
      <c r="H51" s="123"/>
      <c r="I51" s="123"/>
      <c r="J51" s="123"/>
      <c r="K51" s="123"/>
      <c r="L51" s="123"/>
      <c r="M51" s="123"/>
      <c r="N51" s="123"/>
      <c r="O51" s="4"/>
      <c r="P51" s="4"/>
      <c r="Q51" s="4"/>
      <c r="R51" s="4"/>
      <c r="S51" s="4"/>
      <c r="DX51" s="58"/>
      <c r="DY51" s="58"/>
      <c r="DZ51" s="58"/>
      <c r="EA51" s="58"/>
      <c r="EB51" s="58"/>
      <c r="EC51" s="58"/>
      <c r="ED51" s="58"/>
      <c r="EE51" s="58"/>
      <c r="EF51" s="58"/>
      <c r="EG51" s="58"/>
      <c r="EH51" s="58"/>
      <c r="EI51" s="58"/>
      <c r="EJ51" s="58"/>
      <c r="EK51" s="58"/>
      <c r="EL51" s="58"/>
      <c r="EM51" s="58"/>
      <c r="EN51" s="58"/>
    </row>
    <row r="52" spans="1:144" x14ac:dyDescent="0.3">
      <c r="A52" s="4"/>
      <c r="B52" s="5"/>
      <c r="C52" s="5"/>
      <c r="D52" s="6"/>
      <c r="E52" s="4"/>
      <c r="F52" s="123"/>
      <c r="G52" s="123"/>
      <c r="H52" s="123"/>
      <c r="I52" s="123"/>
      <c r="J52" s="123"/>
      <c r="K52" s="123"/>
      <c r="L52" s="123"/>
      <c r="M52" s="123"/>
      <c r="N52" s="123"/>
      <c r="O52" s="4"/>
      <c r="P52" s="4"/>
      <c r="Q52" s="4"/>
      <c r="R52" s="4"/>
      <c r="S52" s="4"/>
      <c r="DX52" s="58"/>
      <c r="DY52" s="58"/>
      <c r="DZ52" s="58"/>
      <c r="EA52" s="58"/>
      <c r="EB52" s="58"/>
      <c r="EC52" s="58"/>
      <c r="ED52" s="58"/>
      <c r="EE52" s="58"/>
      <c r="EF52" s="58"/>
      <c r="EG52" s="58"/>
      <c r="EH52" s="58"/>
      <c r="EI52" s="58"/>
      <c r="EJ52" s="58"/>
      <c r="EK52" s="58"/>
      <c r="EL52" s="58"/>
      <c r="EM52" s="58"/>
      <c r="EN52" s="58"/>
    </row>
    <row r="53" spans="1:144" x14ac:dyDescent="0.3">
      <c r="A53" s="4"/>
      <c r="B53" s="5"/>
      <c r="C53" s="5"/>
      <c r="D53" s="6"/>
      <c r="E53" s="4"/>
      <c r="F53" s="4"/>
      <c r="G53" s="4"/>
      <c r="H53" s="4"/>
      <c r="I53" s="4"/>
      <c r="J53" s="4"/>
      <c r="K53" s="4"/>
      <c r="L53" s="4"/>
      <c r="M53" s="4"/>
      <c r="N53" s="4"/>
      <c r="O53" s="4"/>
      <c r="P53" s="4"/>
      <c r="Q53" s="4"/>
      <c r="R53" s="4"/>
      <c r="S53" s="4"/>
    </row>
  </sheetData>
  <sheetProtection sheet="1" objects="1" scenarios="1" selectLockedCells="1"/>
  <mergeCells count="52">
    <mergeCell ref="EK4:EN4"/>
    <mergeCell ref="DX4:DY4"/>
    <mergeCell ref="DZ4:EH4"/>
    <mergeCell ref="BZ5:CH7"/>
    <mergeCell ref="CR5:CZ7"/>
    <mergeCell ref="DX3:EH3"/>
    <mergeCell ref="T3:W3"/>
    <mergeCell ref="BD3:BF3"/>
    <mergeCell ref="CN3:CQ3"/>
    <mergeCell ref="DJ11:DK11"/>
    <mergeCell ref="DN11:DQ11"/>
    <mergeCell ref="DJ5:DR7"/>
    <mergeCell ref="AT9:AW9"/>
    <mergeCell ref="AT11:AW11"/>
    <mergeCell ref="BH11:BI11"/>
    <mergeCell ref="BL11:BO11"/>
    <mergeCell ref="DF3:DI3"/>
    <mergeCell ref="F5:N7"/>
    <mergeCell ref="X5:AF7"/>
    <mergeCell ref="AP5:AX7"/>
    <mergeCell ref="BH5:BP7"/>
    <mergeCell ref="CV13:CY13"/>
    <mergeCell ref="BZ11:CA11"/>
    <mergeCell ref="CD11:CG11"/>
    <mergeCell ref="CR11:CS11"/>
    <mergeCell ref="CV11:CY11"/>
    <mergeCell ref="F11:G11"/>
    <mergeCell ref="J11:M11"/>
    <mergeCell ref="X11:Y11"/>
    <mergeCell ref="AB11:AE11"/>
    <mergeCell ref="AP11:AQ11"/>
    <mergeCell ref="DN13:DQ13"/>
    <mergeCell ref="J15:M15"/>
    <mergeCell ref="AB15:AE15"/>
    <mergeCell ref="AT15:AW15"/>
    <mergeCell ref="BL15:BO15"/>
    <mergeCell ref="CD15:CG15"/>
    <mergeCell ref="CV15:CY15"/>
    <mergeCell ref="DN15:DQ15"/>
    <mergeCell ref="J13:M13"/>
    <mergeCell ref="AB13:AE13"/>
    <mergeCell ref="AT13:AW13"/>
    <mergeCell ref="BL13:BO13"/>
    <mergeCell ref="CD13:CG13"/>
    <mergeCell ref="BL17:BO17"/>
    <mergeCell ref="CD17:CG17"/>
    <mergeCell ref="CV17:CY17"/>
    <mergeCell ref="F23:N25"/>
    <mergeCell ref="F50:N52"/>
    <mergeCell ref="J17:M17"/>
    <mergeCell ref="AB17:AE17"/>
    <mergeCell ref="AT17:AW17"/>
  </mergeCells>
  <conditionalFormatting sqref="EM5:EM21">
    <cfRule type="top10" dxfId="25" priority="1" rank="3"/>
  </conditionalFormatting>
  <printOptions verticalCentered="1"/>
  <pageMargins left="0.74803149606299213" right="0.74803149606299213" top="1.1811023622047245" bottom="0.98425196850393704" header="0.51181102362204722" footer="0.51181102362204722"/>
  <pageSetup paperSize="9" scale="10" orientation="portrait" horizontalDpi="4294967294" verticalDpi="0" r:id="rId1"/>
  <headerFooter alignWithMargins="0">
    <oddHeader>&amp;C&amp;24&amp;K03+000
Results Belbintest&amp;R&amp;G</oddHeader>
    <oddFooter>&amp;R&amp;K03+000Printing date &amp;D</oddFooter>
  </headerFooter>
  <colBreaks count="13" manualBreakCount="13">
    <brk id="5" max="1048575" man="1"/>
    <brk id="18" max="1048575" man="1"/>
    <brk id="23" max="1048575" man="1"/>
    <brk id="41" max="1048575" man="1"/>
    <brk id="54" max="1048575" man="1"/>
    <brk id="59" max="1048575" man="1"/>
    <brk id="77" max="1048575" man="1"/>
    <brk id="90" max="1048575" man="1"/>
    <brk id="95" max="1048575" man="1"/>
    <brk id="108" max="1048575" man="1"/>
    <brk id="113" max="1048575" man="1"/>
    <brk id="126" max="1048575" man="1"/>
    <brk id="144" max="1048575" man="1"/>
  </colBreaks>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25">
    <pageSetUpPr fitToPage="1"/>
  </sheetPr>
  <dimension ref="A1:GL53"/>
  <sheetViews>
    <sheetView topLeftCell="CZ1" zoomScale="85" zoomScaleNormal="85" workbookViewId="0">
      <selection activeCell="DH21" sqref="DH21"/>
    </sheetView>
  </sheetViews>
  <sheetFormatPr defaultColWidth="9.109375" defaultRowHeight="17.399999999999999" x14ac:dyDescent="0.25"/>
  <cols>
    <col min="1" max="1" width="8.6640625" style="3" customWidth="1"/>
    <col min="2" max="2" width="59.33203125" style="1" bestFit="1" customWidth="1"/>
    <col min="3" max="3" width="2.33203125" style="1" customWidth="1"/>
    <col min="4" max="4" width="9.109375" style="2"/>
    <col min="5" max="18" width="9.109375" style="3"/>
    <col min="19" max="19" width="8.6640625" style="3" customWidth="1"/>
    <col min="20" max="20" width="59.33203125" style="3" customWidth="1"/>
    <col min="21" max="21" width="2.33203125" style="3" customWidth="1"/>
    <col min="22" max="35" width="9.109375" style="3"/>
    <col min="36" max="36" width="9.109375" style="3" customWidth="1"/>
    <col min="37" max="37" width="8.6640625" style="3" customWidth="1"/>
    <col min="38" max="38" width="59.33203125" style="3" customWidth="1"/>
    <col min="39" max="39" width="2.33203125" style="3" customWidth="1"/>
    <col min="40" max="53" width="9.109375" style="3"/>
    <col min="54" max="54" width="9.109375" style="3" customWidth="1"/>
    <col min="55" max="55" width="8.6640625" style="3" customWidth="1"/>
    <col min="56" max="56" width="59.33203125" style="3" customWidth="1"/>
    <col min="57" max="57" width="2.33203125" style="3" customWidth="1"/>
    <col min="58" max="71" width="9.109375" style="3"/>
    <col min="72" max="72" width="9.109375" style="3" customWidth="1"/>
    <col min="73" max="73" width="8.6640625" style="3" customWidth="1"/>
    <col min="74" max="74" width="59.33203125" style="3" customWidth="1"/>
    <col min="75" max="75" width="2.33203125" style="3" customWidth="1"/>
    <col min="76" max="89" width="9.109375" style="3"/>
    <col min="90" max="90" width="9.109375" style="3" customWidth="1"/>
    <col min="91" max="91" width="8.6640625" style="3" customWidth="1"/>
    <col min="92" max="92" width="59.33203125" style="3" customWidth="1"/>
    <col min="93" max="93" width="2.33203125" style="3" customWidth="1"/>
    <col min="94" max="107" width="9.109375" style="3"/>
    <col min="108" max="108" width="9.109375" style="3" customWidth="1"/>
    <col min="109" max="109" width="8.6640625" style="3" customWidth="1"/>
    <col min="110" max="110" width="59.33203125" style="3" customWidth="1"/>
    <col min="111" max="111" width="2.33203125" style="3" customWidth="1"/>
    <col min="112" max="127" width="9.109375" style="3"/>
    <col min="128" max="128" width="9.109375" style="3" customWidth="1"/>
    <col min="129" max="129" width="3.33203125" style="3" customWidth="1"/>
    <col min="130" max="138" width="4.77734375" style="3" customWidth="1"/>
    <col min="139" max="141" width="9.109375" style="3"/>
    <col min="142" max="142" width="14.6640625" style="3" customWidth="1"/>
    <col min="143" max="143" width="9.109375" style="3"/>
    <col min="144" max="144" width="6.6640625" style="3" customWidth="1"/>
    <col min="145" max="150" width="9.109375" style="3"/>
    <col min="151" max="151" width="2.33203125" style="3" customWidth="1"/>
    <col min="152" max="152" width="2.88671875" style="3" customWidth="1"/>
    <col min="153" max="257" width="9.109375" style="3"/>
    <col min="258" max="258" width="3" style="3" customWidth="1"/>
    <col min="259" max="259" width="59.33203125" style="3" bestFit="1" customWidth="1"/>
    <col min="260" max="260" width="2.33203125" style="3" customWidth="1"/>
    <col min="261" max="513" width="9.109375" style="3"/>
    <col min="514" max="514" width="3" style="3" customWidth="1"/>
    <col min="515" max="515" width="59.33203125" style="3" bestFit="1" customWidth="1"/>
    <col min="516" max="516" width="2.33203125" style="3" customWidth="1"/>
    <col min="517" max="769" width="9.109375" style="3"/>
    <col min="770" max="770" width="3" style="3" customWidth="1"/>
    <col min="771" max="771" width="59.33203125" style="3" bestFit="1" customWidth="1"/>
    <col min="772" max="772" width="2.33203125" style="3" customWidth="1"/>
    <col min="773" max="1025" width="9.109375" style="3"/>
    <col min="1026" max="1026" width="3" style="3" customWidth="1"/>
    <col min="1027" max="1027" width="59.33203125" style="3" bestFit="1" customWidth="1"/>
    <col min="1028" max="1028" width="2.33203125" style="3" customWidth="1"/>
    <col min="1029" max="1281" width="9.109375" style="3"/>
    <col min="1282" max="1282" width="3" style="3" customWidth="1"/>
    <col min="1283" max="1283" width="59.33203125" style="3" bestFit="1" customWidth="1"/>
    <col min="1284" max="1284" width="2.33203125" style="3" customWidth="1"/>
    <col min="1285" max="1537" width="9.109375" style="3"/>
    <col min="1538" max="1538" width="3" style="3" customWidth="1"/>
    <col min="1539" max="1539" width="59.33203125" style="3" bestFit="1" customWidth="1"/>
    <col min="1540" max="1540" width="2.33203125" style="3" customWidth="1"/>
    <col min="1541" max="1793" width="9.109375" style="3"/>
    <col min="1794" max="1794" width="3" style="3" customWidth="1"/>
    <col min="1795" max="1795" width="59.33203125" style="3" bestFit="1" customWidth="1"/>
    <col min="1796" max="1796" width="2.33203125" style="3" customWidth="1"/>
    <col min="1797" max="2049" width="9.109375" style="3"/>
    <col min="2050" max="2050" width="3" style="3" customWidth="1"/>
    <col min="2051" max="2051" width="59.33203125" style="3" bestFit="1" customWidth="1"/>
    <col min="2052" max="2052" width="2.33203125" style="3" customWidth="1"/>
    <col min="2053" max="2305" width="9.109375" style="3"/>
    <col min="2306" max="2306" width="3" style="3" customWidth="1"/>
    <col min="2307" max="2307" width="59.33203125" style="3" bestFit="1" customWidth="1"/>
    <col min="2308" max="2308" width="2.33203125" style="3" customWidth="1"/>
    <col min="2309" max="2561" width="9.109375" style="3"/>
    <col min="2562" max="2562" width="3" style="3" customWidth="1"/>
    <col min="2563" max="2563" width="59.33203125" style="3" bestFit="1" customWidth="1"/>
    <col min="2564" max="2564" width="2.33203125" style="3" customWidth="1"/>
    <col min="2565" max="2817" width="9.109375" style="3"/>
    <col min="2818" max="2818" width="3" style="3" customWidth="1"/>
    <col min="2819" max="2819" width="59.33203125" style="3" bestFit="1" customWidth="1"/>
    <col min="2820" max="2820" width="2.33203125" style="3" customWidth="1"/>
    <col min="2821" max="3073" width="9.109375" style="3"/>
    <col min="3074" max="3074" width="3" style="3" customWidth="1"/>
    <col min="3075" max="3075" width="59.33203125" style="3" bestFit="1" customWidth="1"/>
    <col min="3076" max="3076" width="2.33203125" style="3" customWidth="1"/>
    <col min="3077" max="3329" width="9.109375" style="3"/>
    <col min="3330" max="3330" width="3" style="3" customWidth="1"/>
    <col min="3331" max="3331" width="59.33203125" style="3" bestFit="1" customWidth="1"/>
    <col min="3332" max="3332" width="2.33203125" style="3" customWidth="1"/>
    <col min="3333" max="3585" width="9.109375" style="3"/>
    <col min="3586" max="3586" width="3" style="3" customWidth="1"/>
    <col min="3587" max="3587" width="59.33203125" style="3" bestFit="1" customWidth="1"/>
    <col min="3588" max="3588" width="2.33203125" style="3" customWidth="1"/>
    <col min="3589" max="3841" width="9.109375" style="3"/>
    <col min="3842" max="3842" width="3" style="3" customWidth="1"/>
    <col min="3843" max="3843" width="59.33203125" style="3" bestFit="1" customWidth="1"/>
    <col min="3844" max="3844" width="2.33203125" style="3" customWidth="1"/>
    <col min="3845" max="4097" width="9.109375" style="3"/>
    <col min="4098" max="4098" width="3" style="3" customWidth="1"/>
    <col min="4099" max="4099" width="59.33203125" style="3" bestFit="1" customWidth="1"/>
    <col min="4100" max="4100" width="2.33203125" style="3" customWidth="1"/>
    <col min="4101" max="4353" width="9.109375" style="3"/>
    <col min="4354" max="4354" width="3" style="3" customWidth="1"/>
    <col min="4355" max="4355" width="59.33203125" style="3" bestFit="1" customWidth="1"/>
    <col min="4356" max="4356" width="2.33203125" style="3" customWidth="1"/>
    <col min="4357" max="4609" width="9.109375" style="3"/>
    <col min="4610" max="4610" width="3" style="3" customWidth="1"/>
    <col min="4611" max="4611" width="59.33203125" style="3" bestFit="1" customWidth="1"/>
    <col min="4612" max="4612" width="2.33203125" style="3" customWidth="1"/>
    <col min="4613" max="4865" width="9.109375" style="3"/>
    <col min="4866" max="4866" width="3" style="3" customWidth="1"/>
    <col min="4867" max="4867" width="59.33203125" style="3" bestFit="1" customWidth="1"/>
    <col min="4868" max="4868" width="2.33203125" style="3" customWidth="1"/>
    <col min="4869" max="5121" width="9.109375" style="3"/>
    <col min="5122" max="5122" width="3" style="3" customWidth="1"/>
    <col min="5123" max="5123" width="59.33203125" style="3" bestFit="1" customWidth="1"/>
    <col min="5124" max="5124" width="2.33203125" style="3" customWidth="1"/>
    <col min="5125" max="5377" width="9.109375" style="3"/>
    <col min="5378" max="5378" width="3" style="3" customWidth="1"/>
    <col min="5379" max="5379" width="59.33203125" style="3" bestFit="1" customWidth="1"/>
    <col min="5380" max="5380" width="2.33203125" style="3" customWidth="1"/>
    <col min="5381" max="5633" width="9.109375" style="3"/>
    <col min="5634" max="5634" width="3" style="3" customWidth="1"/>
    <col min="5635" max="5635" width="59.33203125" style="3" bestFit="1" customWidth="1"/>
    <col min="5636" max="5636" width="2.33203125" style="3" customWidth="1"/>
    <col min="5637" max="5889" width="9.109375" style="3"/>
    <col min="5890" max="5890" width="3" style="3" customWidth="1"/>
    <col min="5891" max="5891" width="59.33203125" style="3" bestFit="1" customWidth="1"/>
    <col min="5892" max="5892" width="2.33203125" style="3" customWidth="1"/>
    <col min="5893" max="6145" width="9.109375" style="3"/>
    <col min="6146" max="6146" width="3" style="3" customWidth="1"/>
    <col min="6147" max="6147" width="59.33203125" style="3" bestFit="1" customWidth="1"/>
    <col min="6148" max="6148" width="2.33203125" style="3" customWidth="1"/>
    <col min="6149" max="6401" width="9.109375" style="3"/>
    <col min="6402" max="6402" width="3" style="3" customWidth="1"/>
    <col min="6403" max="6403" width="59.33203125" style="3" bestFit="1" customWidth="1"/>
    <col min="6404" max="6404" width="2.33203125" style="3" customWidth="1"/>
    <col min="6405" max="6657" width="9.109375" style="3"/>
    <col min="6658" max="6658" width="3" style="3" customWidth="1"/>
    <col min="6659" max="6659" width="59.33203125" style="3" bestFit="1" customWidth="1"/>
    <col min="6660" max="6660" width="2.33203125" style="3" customWidth="1"/>
    <col min="6661" max="6913" width="9.109375" style="3"/>
    <col min="6914" max="6914" width="3" style="3" customWidth="1"/>
    <col min="6915" max="6915" width="59.33203125" style="3" bestFit="1" customWidth="1"/>
    <col min="6916" max="6916" width="2.33203125" style="3" customWidth="1"/>
    <col min="6917" max="7169" width="9.109375" style="3"/>
    <col min="7170" max="7170" width="3" style="3" customWidth="1"/>
    <col min="7171" max="7171" width="59.33203125" style="3" bestFit="1" customWidth="1"/>
    <col min="7172" max="7172" width="2.33203125" style="3" customWidth="1"/>
    <col min="7173" max="7425" width="9.109375" style="3"/>
    <col min="7426" max="7426" width="3" style="3" customWidth="1"/>
    <col min="7427" max="7427" width="59.33203125" style="3" bestFit="1" customWidth="1"/>
    <col min="7428" max="7428" width="2.33203125" style="3" customWidth="1"/>
    <col min="7429" max="7681" width="9.109375" style="3"/>
    <col min="7682" max="7682" width="3" style="3" customWidth="1"/>
    <col min="7683" max="7683" width="59.33203125" style="3" bestFit="1" customWidth="1"/>
    <col min="7684" max="7684" width="2.33203125" style="3" customWidth="1"/>
    <col min="7685" max="7937" width="9.109375" style="3"/>
    <col min="7938" max="7938" width="3" style="3" customWidth="1"/>
    <col min="7939" max="7939" width="59.33203125" style="3" bestFit="1" customWidth="1"/>
    <col min="7940" max="7940" width="2.33203125" style="3" customWidth="1"/>
    <col min="7941" max="8193" width="9.109375" style="3"/>
    <col min="8194" max="8194" width="3" style="3" customWidth="1"/>
    <col min="8195" max="8195" width="59.33203125" style="3" bestFit="1" customWidth="1"/>
    <col min="8196" max="8196" width="2.33203125" style="3" customWidth="1"/>
    <col min="8197" max="8449" width="9.109375" style="3"/>
    <col min="8450" max="8450" width="3" style="3" customWidth="1"/>
    <col min="8451" max="8451" width="59.33203125" style="3" bestFit="1" customWidth="1"/>
    <col min="8452" max="8452" width="2.33203125" style="3" customWidth="1"/>
    <col min="8453" max="8705" width="9.109375" style="3"/>
    <col min="8706" max="8706" width="3" style="3" customWidth="1"/>
    <col min="8707" max="8707" width="59.33203125" style="3" bestFit="1" customWidth="1"/>
    <col min="8708" max="8708" width="2.33203125" style="3" customWidth="1"/>
    <col min="8709" max="8961" width="9.109375" style="3"/>
    <col min="8962" max="8962" width="3" style="3" customWidth="1"/>
    <col min="8963" max="8963" width="59.33203125" style="3" bestFit="1" customWidth="1"/>
    <col min="8964" max="8964" width="2.33203125" style="3" customWidth="1"/>
    <col min="8965" max="9217" width="9.109375" style="3"/>
    <col min="9218" max="9218" width="3" style="3" customWidth="1"/>
    <col min="9219" max="9219" width="59.33203125" style="3" bestFit="1" customWidth="1"/>
    <col min="9220" max="9220" width="2.33203125" style="3" customWidth="1"/>
    <col min="9221" max="9473" width="9.109375" style="3"/>
    <col min="9474" max="9474" width="3" style="3" customWidth="1"/>
    <col min="9475" max="9475" width="59.33203125" style="3" bestFit="1" customWidth="1"/>
    <col min="9476" max="9476" width="2.33203125" style="3" customWidth="1"/>
    <col min="9477" max="9729" width="9.109375" style="3"/>
    <col min="9730" max="9730" width="3" style="3" customWidth="1"/>
    <col min="9731" max="9731" width="59.33203125" style="3" bestFit="1" customWidth="1"/>
    <col min="9732" max="9732" width="2.33203125" style="3" customWidth="1"/>
    <col min="9733" max="9985" width="9.109375" style="3"/>
    <col min="9986" max="9986" width="3" style="3" customWidth="1"/>
    <col min="9987" max="9987" width="59.33203125" style="3" bestFit="1" customWidth="1"/>
    <col min="9988" max="9988" width="2.33203125" style="3" customWidth="1"/>
    <col min="9989" max="10241" width="9.109375" style="3"/>
    <col min="10242" max="10242" width="3" style="3" customWidth="1"/>
    <col min="10243" max="10243" width="59.33203125" style="3" bestFit="1" customWidth="1"/>
    <col min="10244" max="10244" width="2.33203125" style="3" customWidth="1"/>
    <col min="10245" max="10497" width="9.109375" style="3"/>
    <col min="10498" max="10498" width="3" style="3" customWidth="1"/>
    <col min="10499" max="10499" width="59.33203125" style="3" bestFit="1" customWidth="1"/>
    <col min="10500" max="10500" width="2.33203125" style="3" customWidth="1"/>
    <col min="10501" max="10753" width="9.109375" style="3"/>
    <col min="10754" max="10754" width="3" style="3" customWidth="1"/>
    <col min="10755" max="10755" width="59.33203125" style="3" bestFit="1" customWidth="1"/>
    <col min="10756" max="10756" width="2.33203125" style="3" customWidth="1"/>
    <col min="10757" max="11009" width="9.109375" style="3"/>
    <col min="11010" max="11010" width="3" style="3" customWidth="1"/>
    <col min="11011" max="11011" width="59.33203125" style="3" bestFit="1" customWidth="1"/>
    <col min="11012" max="11012" width="2.33203125" style="3" customWidth="1"/>
    <col min="11013" max="11265" width="9.109375" style="3"/>
    <col min="11266" max="11266" width="3" style="3" customWidth="1"/>
    <col min="11267" max="11267" width="59.33203125" style="3" bestFit="1" customWidth="1"/>
    <col min="11268" max="11268" width="2.33203125" style="3" customWidth="1"/>
    <col min="11269" max="11521" width="9.109375" style="3"/>
    <col min="11522" max="11522" width="3" style="3" customWidth="1"/>
    <col min="11523" max="11523" width="59.33203125" style="3" bestFit="1" customWidth="1"/>
    <col min="11524" max="11524" width="2.33203125" style="3" customWidth="1"/>
    <col min="11525" max="11777" width="9.109375" style="3"/>
    <col min="11778" max="11778" width="3" style="3" customWidth="1"/>
    <col min="11779" max="11779" width="59.33203125" style="3" bestFit="1" customWidth="1"/>
    <col min="11780" max="11780" width="2.33203125" style="3" customWidth="1"/>
    <col min="11781" max="12033" width="9.109375" style="3"/>
    <col min="12034" max="12034" width="3" style="3" customWidth="1"/>
    <col min="12035" max="12035" width="59.33203125" style="3" bestFit="1" customWidth="1"/>
    <col min="12036" max="12036" width="2.33203125" style="3" customWidth="1"/>
    <col min="12037" max="12289" width="9.109375" style="3"/>
    <col min="12290" max="12290" width="3" style="3" customWidth="1"/>
    <col min="12291" max="12291" width="59.33203125" style="3" bestFit="1" customWidth="1"/>
    <col min="12292" max="12292" width="2.33203125" style="3" customWidth="1"/>
    <col min="12293" max="12545" width="9.109375" style="3"/>
    <col min="12546" max="12546" width="3" style="3" customWidth="1"/>
    <col min="12547" max="12547" width="59.33203125" style="3" bestFit="1" customWidth="1"/>
    <col min="12548" max="12548" width="2.33203125" style="3" customWidth="1"/>
    <col min="12549" max="12801" width="9.109375" style="3"/>
    <col min="12802" max="12802" width="3" style="3" customWidth="1"/>
    <col min="12803" max="12803" width="59.33203125" style="3" bestFit="1" customWidth="1"/>
    <col min="12804" max="12804" width="2.33203125" style="3" customWidth="1"/>
    <col min="12805" max="13057" width="9.109375" style="3"/>
    <col min="13058" max="13058" width="3" style="3" customWidth="1"/>
    <col min="13059" max="13059" width="59.33203125" style="3" bestFit="1" customWidth="1"/>
    <col min="13060" max="13060" width="2.33203125" style="3" customWidth="1"/>
    <col min="13061" max="13313" width="9.109375" style="3"/>
    <col min="13314" max="13314" width="3" style="3" customWidth="1"/>
    <col min="13315" max="13315" width="59.33203125" style="3" bestFit="1" customWidth="1"/>
    <col min="13316" max="13316" width="2.33203125" style="3" customWidth="1"/>
    <col min="13317" max="13569" width="9.109375" style="3"/>
    <col min="13570" max="13570" width="3" style="3" customWidth="1"/>
    <col min="13571" max="13571" width="59.33203125" style="3" bestFit="1" customWidth="1"/>
    <col min="13572" max="13572" width="2.33203125" style="3" customWidth="1"/>
    <col min="13573" max="13825" width="9.109375" style="3"/>
    <col min="13826" max="13826" width="3" style="3" customWidth="1"/>
    <col min="13827" max="13827" width="59.33203125" style="3" bestFit="1" customWidth="1"/>
    <col min="13828" max="13828" width="2.33203125" style="3" customWidth="1"/>
    <col min="13829" max="14081" width="9.109375" style="3"/>
    <col min="14082" max="14082" width="3" style="3" customWidth="1"/>
    <col min="14083" max="14083" width="59.33203125" style="3" bestFit="1" customWidth="1"/>
    <col min="14084" max="14084" width="2.33203125" style="3" customWidth="1"/>
    <col min="14085" max="14337" width="9.109375" style="3"/>
    <col min="14338" max="14338" width="3" style="3" customWidth="1"/>
    <col min="14339" max="14339" width="59.33203125" style="3" bestFit="1" customWidth="1"/>
    <col min="14340" max="14340" width="2.33203125" style="3" customWidth="1"/>
    <col min="14341" max="14593" width="9.109375" style="3"/>
    <col min="14594" max="14594" width="3" style="3" customWidth="1"/>
    <col min="14595" max="14595" width="59.33203125" style="3" bestFit="1" customWidth="1"/>
    <col min="14596" max="14596" width="2.33203125" style="3" customWidth="1"/>
    <col min="14597" max="14849" width="9.109375" style="3"/>
    <col min="14850" max="14850" width="3" style="3" customWidth="1"/>
    <col min="14851" max="14851" width="59.33203125" style="3" bestFit="1" customWidth="1"/>
    <col min="14852" max="14852" width="2.33203125" style="3" customWidth="1"/>
    <col min="14853" max="15105" width="9.109375" style="3"/>
    <col min="15106" max="15106" width="3" style="3" customWidth="1"/>
    <col min="15107" max="15107" width="59.33203125" style="3" bestFit="1" customWidth="1"/>
    <col min="15108" max="15108" width="2.33203125" style="3" customWidth="1"/>
    <col min="15109" max="15361" width="9.109375" style="3"/>
    <col min="15362" max="15362" width="3" style="3" customWidth="1"/>
    <col min="15363" max="15363" width="59.33203125" style="3" bestFit="1" customWidth="1"/>
    <col min="15364" max="15364" width="2.33203125" style="3" customWidth="1"/>
    <col min="15365" max="15617" width="9.109375" style="3"/>
    <col min="15618" max="15618" width="3" style="3" customWidth="1"/>
    <col min="15619" max="15619" width="59.33203125" style="3" bestFit="1" customWidth="1"/>
    <col min="15620" max="15620" width="2.33203125" style="3" customWidth="1"/>
    <col min="15621" max="15873" width="9.109375" style="3"/>
    <col min="15874" max="15874" width="3" style="3" customWidth="1"/>
    <col min="15875" max="15875" width="59.33203125" style="3" bestFit="1" customWidth="1"/>
    <col min="15876" max="15876" width="2.33203125" style="3" customWidth="1"/>
    <col min="15877" max="16129" width="9.109375" style="3"/>
    <col min="16130" max="16130" width="3" style="3" customWidth="1"/>
    <col min="16131" max="16131" width="59.33203125" style="3" bestFit="1" customWidth="1"/>
    <col min="16132" max="16132" width="2.33203125" style="3" customWidth="1"/>
    <col min="16133" max="16384" width="9.109375" style="3"/>
  </cols>
  <sheetData>
    <row r="1" spans="1:194" x14ac:dyDescent="0.3">
      <c r="T1" s="1"/>
      <c r="U1" s="1"/>
      <c r="V1" s="2"/>
      <c r="AJ1" s="4"/>
      <c r="AK1" s="4"/>
      <c r="AL1" s="5"/>
      <c r="AM1" s="5"/>
      <c r="AN1" s="6"/>
      <c r="AO1" s="4"/>
      <c r="AP1" s="4"/>
      <c r="AQ1" s="4"/>
      <c r="AR1" s="4"/>
      <c r="AS1" s="4"/>
      <c r="AT1" s="4"/>
      <c r="AU1" s="4"/>
      <c r="AV1" s="4"/>
      <c r="AW1" s="4"/>
      <c r="AX1" s="4"/>
      <c r="AY1" s="4"/>
      <c r="BB1" s="4"/>
      <c r="BC1" s="4"/>
      <c r="BD1" s="5"/>
      <c r="BE1" s="5"/>
      <c r="BF1" s="6"/>
      <c r="BG1" s="4"/>
      <c r="BH1" s="4"/>
      <c r="BI1" s="4"/>
      <c r="BJ1" s="4"/>
      <c r="BK1" s="4"/>
      <c r="BL1" s="4"/>
      <c r="BM1" s="4"/>
      <c r="BN1" s="4"/>
      <c r="BO1" s="4"/>
      <c r="BP1" s="4"/>
      <c r="BQ1" s="4"/>
      <c r="BT1" s="4"/>
      <c r="BU1" s="4"/>
      <c r="BV1" s="5"/>
      <c r="BW1" s="5"/>
      <c r="BX1" s="6"/>
      <c r="BY1" s="4"/>
      <c r="BZ1" s="4"/>
      <c r="CA1" s="4"/>
      <c r="CB1" s="4"/>
      <c r="CC1" s="4"/>
      <c r="CD1" s="4"/>
      <c r="CE1" s="4"/>
      <c r="CF1" s="4"/>
      <c r="CG1" s="4"/>
      <c r="CH1" s="4"/>
      <c r="CI1" s="4"/>
      <c r="CL1" s="4"/>
      <c r="CM1" s="4"/>
      <c r="CN1" s="5"/>
      <c r="CO1" s="5"/>
      <c r="CP1" s="6"/>
      <c r="CQ1" s="4"/>
      <c r="CR1" s="4"/>
      <c r="CS1" s="4"/>
      <c r="CT1" s="4"/>
      <c r="CU1" s="4"/>
      <c r="CV1" s="4"/>
      <c r="CW1" s="4"/>
      <c r="CX1" s="4"/>
      <c r="CY1" s="4"/>
      <c r="CZ1" s="4"/>
      <c r="DA1" s="4"/>
      <c r="DD1" s="4"/>
      <c r="DE1" s="4"/>
      <c r="DF1" s="5"/>
      <c r="DG1" s="5"/>
      <c r="DH1" s="6"/>
      <c r="DI1" s="4"/>
      <c r="DJ1" s="4"/>
      <c r="DK1" s="4"/>
      <c r="DL1" s="4"/>
      <c r="DM1" s="4"/>
      <c r="DN1" s="4"/>
      <c r="DO1" s="4"/>
      <c r="DP1" s="4"/>
      <c r="DQ1" s="4"/>
      <c r="DR1" s="4"/>
      <c r="DS1" s="4"/>
      <c r="DW1" s="24"/>
      <c r="DX1" s="57"/>
      <c r="DY1" s="57"/>
      <c r="DZ1" s="57"/>
      <c r="EA1" s="57"/>
      <c r="EB1" s="57"/>
      <c r="EC1" s="57"/>
      <c r="ED1" s="57"/>
      <c r="EE1" s="57"/>
      <c r="EF1" s="57"/>
      <c r="EG1" s="57"/>
      <c r="EH1" s="57"/>
      <c r="EI1" s="57"/>
      <c r="EJ1" s="58"/>
      <c r="EK1" s="58"/>
      <c r="EL1" s="58"/>
      <c r="EM1" s="58"/>
      <c r="EN1" s="58"/>
    </row>
    <row r="2" spans="1:194" ht="17.399999999999999" customHeight="1" x14ac:dyDescent="0.3">
      <c r="S2" s="4"/>
      <c r="T2" s="5"/>
      <c r="U2" s="5"/>
      <c r="V2" s="6"/>
      <c r="W2" s="4"/>
      <c r="X2" s="4"/>
      <c r="Y2" s="4"/>
      <c r="Z2" s="4"/>
      <c r="AA2" s="4"/>
      <c r="AB2" s="4"/>
      <c r="AC2" s="4"/>
      <c r="AD2" s="4"/>
      <c r="AE2" s="4"/>
      <c r="AF2" s="4"/>
      <c r="AG2" s="4"/>
      <c r="AJ2" s="4"/>
      <c r="AK2" s="4"/>
      <c r="AL2" s="5"/>
      <c r="AM2" s="5"/>
      <c r="AN2" s="6"/>
      <c r="AO2" s="4"/>
      <c r="AP2" s="4"/>
      <c r="AQ2" s="4"/>
      <c r="AR2" s="4"/>
      <c r="AS2" s="4"/>
      <c r="AT2" s="4"/>
      <c r="AU2" s="4"/>
      <c r="AV2" s="4"/>
      <c r="AW2" s="4"/>
      <c r="AX2" s="4"/>
      <c r="AY2" s="4"/>
      <c r="BB2" s="4"/>
      <c r="BC2" s="4"/>
      <c r="BD2" s="5"/>
      <c r="BE2" s="5"/>
      <c r="BF2" s="6"/>
      <c r="BG2" s="4"/>
      <c r="BH2" s="4"/>
      <c r="BI2" s="4"/>
      <c r="BJ2" s="4"/>
      <c r="BK2" s="4"/>
      <c r="BL2" s="4"/>
      <c r="BM2" s="4"/>
      <c r="BN2" s="4"/>
      <c r="BO2" s="4"/>
      <c r="BP2" s="4"/>
      <c r="BQ2" s="4"/>
      <c r="BT2" s="4"/>
      <c r="BU2" s="4"/>
      <c r="BV2" s="5"/>
      <c r="BW2" s="5"/>
      <c r="BX2" s="6"/>
      <c r="BY2" s="4"/>
      <c r="BZ2" s="4"/>
      <c r="CA2" s="4"/>
      <c r="CB2" s="4"/>
      <c r="CC2" s="4"/>
      <c r="CD2" s="4"/>
      <c r="CE2" s="4"/>
      <c r="CF2" s="4"/>
      <c r="CG2" s="4"/>
      <c r="CH2" s="4"/>
      <c r="CI2" s="4"/>
      <c r="CL2" s="4"/>
      <c r="CM2" s="4"/>
      <c r="CN2" s="5"/>
      <c r="CO2" s="5"/>
      <c r="CP2" s="6"/>
      <c r="CQ2" s="4"/>
      <c r="CR2" s="4"/>
      <c r="CS2" s="4"/>
      <c r="CT2" s="4"/>
      <c r="CU2" s="4"/>
      <c r="CV2" s="4"/>
      <c r="CW2" s="4"/>
      <c r="CX2" s="4"/>
      <c r="CY2" s="4"/>
      <c r="CZ2" s="4"/>
      <c r="DA2" s="4"/>
      <c r="DD2" s="4"/>
      <c r="DE2" s="4"/>
      <c r="DF2" s="5"/>
      <c r="DG2" s="5"/>
      <c r="DH2" s="6"/>
      <c r="DI2" s="4"/>
      <c r="DJ2" s="4"/>
      <c r="DK2" s="4"/>
      <c r="DL2" s="4"/>
      <c r="DM2" s="4"/>
      <c r="DN2" s="4"/>
      <c r="DO2" s="4"/>
      <c r="DP2" s="4"/>
      <c r="DQ2" s="4"/>
      <c r="DR2" s="4"/>
      <c r="DS2" s="4"/>
      <c r="DW2" s="27"/>
      <c r="DX2" s="59"/>
      <c r="DY2" s="59"/>
      <c r="DZ2" s="59"/>
      <c r="EA2" s="59"/>
      <c r="EB2" s="59"/>
      <c r="EC2" s="59"/>
      <c r="ED2" s="59"/>
      <c r="EE2" s="59"/>
      <c r="EF2" s="59"/>
      <c r="EG2" s="59"/>
      <c r="EH2" s="59"/>
      <c r="EI2" s="59"/>
      <c r="EJ2" s="58"/>
      <c r="EK2" s="58"/>
      <c r="EL2" s="58"/>
      <c r="EM2" s="58"/>
      <c r="EN2" s="58"/>
    </row>
    <row r="3" spans="1:194" s="9" customFormat="1" ht="34.950000000000003" customHeight="1" x14ac:dyDescent="0.3">
      <c r="A3" s="53" t="s">
        <v>154</v>
      </c>
      <c r="B3" s="7" t="s">
        <v>0</v>
      </c>
      <c r="C3" s="8"/>
      <c r="D3" s="2"/>
      <c r="S3" s="53" t="s">
        <v>155</v>
      </c>
      <c r="T3" s="140" t="s">
        <v>12</v>
      </c>
      <c r="U3" s="140"/>
      <c r="V3" s="140"/>
      <c r="W3" s="140"/>
      <c r="X3" s="10"/>
      <c r="Y3" s="10"/>
      <c r="Z3" s="10"/>
      <c r="AA3" s="10"/>
      <c r="AB3" s="10"/>
      <c r="AC3" s="10"/>
      <c r="AD3" s="10"/>
      <c r="AE3" s="10"/>
      <c r="AF3" s="10"/>
      <c r="AG3" s="10"/>
      <c r="AJ3" s="10"/>
      <c r="AK3" s="53" t="s">
        <v>156</v>
      </c>
      <c r="AL3" s="11" t="s">
        <v>22</v>
      </c>
      <c r="AM3" s="12"/>
      <c r="AN3" s="6"/>
      <c r="AO3" s="10"/>
      <c r="AP3" s="10"/>
      <c r="AQ3" s="10"/>
      <c r="AR3" s="10"/>
      <c r="AS3" s="10"/>
      <c r="AT3" s="10"/>
      <c r="AU3" s="10"/>
      <c r="AV3" s="10"/>
      <c r="AW3" s="10"/>
      <c r="AX3" s="10"/>
      <c r="AY3" s="10"/>
      <c r="BB3" s="10"/>
      <c r="BC3" s="53" t="s">
        <v>157</v>
      </c>
      <c r="BD3" s="141" t="s">
        <v>32</v>
      </c>
      <c r="BE3" s="141"/>
      <c r="BF3" s="141"/>
      <c r="BG3" s="10"/>
      <c r="BH3" s="10"/>
      <c r="BI3" s="10"/>
      <c r="BJ3" s="10"/>
      <c r="BK3" s="10"/>
      <c r="BL3" s="10"/>
      <c r="BM3" s="10"/>
      <c r="BN3" s="10"/>
      <c r="BO3" s="10"/>
      <c r="BP3" s="10"/>
      <c r="BQ3" s="10"/>
      <c r="BT3" s="13"/>
      <c r="BU3" s="53" t="s">
        <v>158</v>
      </c>
      <c r="BV3" s="11" t="s">
        <v>42</v>
      </c>
      <c r="BW3" s="14"/>
      <c r="BX3" s="6"/>
      <c r="BY3" s="13"/>
      <c r="BZ3" s="13"/>
      <c r="CA3" s="13"/>
      <c r="CB3" s="13"/>
      <c r="CC3" s="13"/>
      <c r="CD3" s="13"/>
      <c r="CE3" s="13"/>
      <c r="CF3" s="13"/>
      <c r="CG3" s="13"/>
      <c r="CH3" s="13"/>
      <c r="CI3" s="13"/>
      <c r="CL3" s="13"/>
      <c r="CM3" s="53" t="s">
        <v>159</v>
      </c>
      <c r="CN3" s="141" t="s">
        <v>52</v>
      </c>
      <c r="CO3" s="141"/>
      <c r="CP3" s="141"/>
      <c r="CQ3" s="141"/>
      <c r="CR3" s="11"/>
      <c r="CS3" s="11"/>
      <c r="CT3" s="11"/>
      <c r="CU3" s="13"/>
      <c r="CV3" s="13"/>
      <c r="CW3" s="13"/>
      <c r="CX3" s="13"/>
      <c r="CY3" s="13"/>
      <c r="CZ3" s="13"/>
      <c r="DA3" s="13"/>
      <c r="DD3" s="13"/>
      <c r="DE3" s="53" t="s">
        <v>160</v>
      </c>
      <c r="DF3" s="141" t="s">
        <v>62</v>
      </c>
      <c r="DG3" s="141"/>
      <c r="DH3" s="141"/>
      <c r="DI3" s="141"/>
      <c r="DJ3" s="11"/>
      <c r="DK3" s="11"/>
      <c r="DL3" s="13"/>
      <c r="DM3" s="13"/>
      <c r="DN3" s="13"/>
      <c r="DO3" s="13"/>
      <c r="DP3" s="13"/>
      <c r="DQ3" s="13"/>
      <c r="DR3" s="13"/>
      <c r="DS3" s="13"/>
      <c r="DW3" s="27"/>
      <c r="DX3" s="142" t="str">
        <f>CONCATENATE("Results Belbin test per section of ",Start!C7)</f>
        <v xml:space="preserve">Results Belbin test per section of </v>
      </c>
      <c r="DY3" s="142"/>
      <c r="DZ3" s="142"/>
      <c r="EA3" s="142"/>
      <c r="EB3" s="142"/>
      <c r="EC3" s="142"/>
      <c r="ED3" s="142"/>
      <c r="EE3" s="142"/>
      <c r="EF3" s="142"/>
      <c r="EG3" s="142"/>
      <c r="EH3" s="142"/>
      <c r="EI3" s="59"/>
      <c r="EJ3" s="60"/>
      <c r="EK3" s="60"/>
      <c r="EL3" s="60"/>
      <c r="EM3" s="60"/>
      <c r="EN3" s="60"/>
    </row>
    <row r="4" spans="1:194" ht="18" thickBot="1" x14ac:dyDescent="0.35">
      <c r="S4" s="4"/>
      <c r="T4" s="15"/>
      <c r="U4" s="15"/>
      <c r="V4" s="6"/>
      <c r="W4" s="4"/>
      <c r="X4" s="4"/>
      <c r="Y4" s="4"/>
      <c r="Z4" s="4"/>
      <c r="AA4" s="4"/>
      <c r="AB4" s="4"/>
      <c r="AC4" s="4"/>
      <c r="AD4" s="4"/>
      <c r="AE4" s="4"/>
      <c r="AF4" s="4"/>
      <c r="AG4" s="4"/>
      <c r="AJ4" s="4"/>
      <c r="AK4" s="4"/>
      <c r="AL4" s="15"/>
      <c r="AM4" s="15"/>
      <c r="AN4" s="6"/>
      <c r="AO4" s="4"/>
      <c r="AP4" s="4"/>
      <c r="AQ4" s="4"/>
      <c r="AR4" s="4"/>
      <c r="AS4" s="4"/>
      <c r="AT4" s="4"/>
      <c r="AU4" s="4"/>
      <c r="AV4" s="4"/>
      <c r="AW4" s="4"/>
      <c r="AX4" s="4"/>
      <c r="AY4" s="4"/>
      <c r="BB4" s="4"/>
      <c r="BC4" s="4"/>
      <c r="BD4" s="15"/>
      <c r="BE4" s="15"/>
      <c r="BF4" s="6"/>
      <c r="BG4" s="4"/>
      <c r="BH4" s="4"/>
      <c r="BI4" s="4"/>
      <c r="BJ4" s="4"/>
      <c r="BK4" s="4"/>
      <c r="BL4" s="4"/>
      <c r="BM4" s="4"/>
      <c r="BN4" s="4"/>
      <c r="BO4" s="4"/>
      <c r="BP4" s="4"/>
      <c r="BQ4" s="4"/>
      <c r="BT4" s="4"/>
      <c r="BU4" s="4"/>
      <c r="BV4" s="15"/>
      <c r="BW4" s="15"/>
      <c r="BX4" s="6"/>
      <c r="BY4" s="4"/>
      <c r="BZ4" s="4"/>
      <c r="CA4" s="4"/>
      <c r="CB4" s="4"/>
      <c r="CC4" s="4"/>
      <c r="CD4" s="4"/>
      <c r="CE4" s="4"/>
      <c r="CF4" s="4"/>
      <c r="CG4" s="4"/>
      <c r="CH4" s="4"/>
      <c r="CI4" s="4"/>
      <c r="CL4" s="4"/>
      <c r="CM4" s="4"/>
      <c r="CN4" s="15"/>
      <c r="CO4" s="15"/>
      <c r="CP4" s="6"/>
      <c r="CQ4" s="4"/>
      <c r="CR4" s="4"/>
      <c r="CS4" s="4"/>
      <c r="CT4" s="4"/>
      <c r="CU4" s="4"/>
      <c r="CV4" s="4"/>
      <c r="CW4" s="4"/>
      <c r="CX4" s="4"/>
      <c r="CY4" s="4"/>
      <c r="CZ4" s="4"/>
      <c r="DA4" s="4"/>
      <c r="DD4" s="4"/>
      <c r="DE4" s="4"/>
      <c r="DF4" s="15"/>
      <c r="DG4" s="15"/>
      <c r="DH4" s="6"/>
      <c r="DI4" s="4"/>
      <c r="DJ4" s="4"/>
      <c r="DK4" s="4"/>
      <c r="DL4" s="4"/>
      <c r="DM4" s="4"/>
      <c r="DN4" s="4"/>
      <c r="DO4" s="4"/>
      <c r="DP4" s="4"/>
      <c r="DQ4" s="4"/>
      <c r="DR4" s="4"/>
      <c r="DS4" s="4"/>
      <c r="DW4" s="27"/>
      <c r="DX4" s="137" t="s">
        <v>72</v>
      </c>
      <c r="DY4" s="138"/>
      <c r="DZ4" s="137" t="s">
        <v>73</v>
      </c>
      <c r="EA4" s="139"/>
      <c r="EB4" s="139"/>
      <c r="EC4" s="139"/>
      <c r="ED4" s="139"/>
      <c r="EE4" s="139"/>
      <c r="EF4" s="139"/>
      <c r="EG4" s="139"/>
      <c r="EH4" s="138"/>
      <c r="EI4" s="59"/>
      <c r="EJ4" s="59"/>
      <c r="EK4" s="130" t="s">
        <v>81</v>
      </c>
      <c r="EL4" s="131"/>
      <c r="EM4" s="131"/>
      <c r="EN4" s="132"/>
      <c r="EU4" s="28"/>
      <c r="EV4" s="28">
        <f>Start!C7</f>
        <v>0</v>
      </c>
    </row>
    <row r="5" spans="1:194" s="17" customFormat="1" ht="31.95" customHeight="1" thickTop="1" thickBot="1" x14ac:dyDescent="0.35">
      <c r="B5" s="16" t="s">
        <v>1</v>
      </c>
      <c r="C5" s="16"/>
      <c r="D5" s="41"/>
      <c r="F5" s="133" t="s">
        <v>2</v>
      </c>
      <c r="G5" s="134"/>
      <c r="H5" s="134"/>
      <c r="I5" s="134"/>
      <c r="J5" s="134"/>
      <c r="K5" s="134"/>
      <c r="L5" s="134"/>
      <c r="M5" s="134"/>
      <c r="N5" s="134"/>
      <c r="S5" s="18"/>
      <c r="T5" s="19" t="s">
        <v>13</v>
      </c>
      <c r="U5" s="19"/>
      <c r="V5" s="41"/>
      <c r="W5" s="18"/>
      <c r="X5" s="135" t="s">
        <v>2</v>
      </c>
      <c r="Y5" s="136"/>
      <c r="Z5" s="136"/>
      <c r="AA5" s="136"/>
      <c r="AB5" s="136"/>
      <c r="AC5" s="136"/>
      <c r="AD5" s="136"/>
      <c r="AE5" s="136"/>
      <c r="AF5" s="136"/>
      <c r="AG5" s="18"/>
      <c r="AJ5" s="18"/>
      <c r="AK5" s="18"/>
      <c r="AL5" s="19" t="s">
        <v>23</v>
      </c>
      <c r="AM5" s="19"/>
      <c r="AN5" s="41"/>
      <c r="AO5" s="18"/>
      <c r="AP5" s="135" t="s">
        <v>2</v>
      </c>
      <c r="AQ5" s="136"/>
      <c r="AR5" s="136"/>
      <c r="AS5" s="136"/>
      <c r="AT5" s="136"/>
      <c r="AU5" s="136"/>
      <c r="AV5" s="136"/>
      <c r="AW5" s="136"/>
      <c r="AX5" s="136"/>
      <c r="AY5" s="18"/>
      <c r="BB5" s="18"/>
      <c r="BC5" s="18"/>
      <c r="BD5" s="19" t="s">
        <v>33</v>
      </c>
      <c r="BE5" s="19"/>
      <c r="BF5" s="41"/>
      <c r="BG5" s="18"/>
      <c r="BH5" s="135" t="s">
        <v>2</v>
      </c>
      <c r="BI5" s="136"/>
      <c r="BJ5" s="136"/>
      <c r="BK5" s="136"/>
      <c r="BL5" s="136"/>
      <c r="BM5" s="136"/>
      <c r="BN5" s="136"/>
      <c r="BO5" s="136"/>
      <c r="BP5" s="136"/>
      <c r="BQ5" s="18"/>
      <c r="BT5" s="18"/>
      <c r="BU5" s="18"/>
      <c r="BV5" s="19" t="s">
        <v>43</v>
      </c>
      <c r="BW5" s="19"/>
      <c r="BX5" s="41"/>
      <c r="BY5" s="18"/>
      <c r="BZ5" s="135" t="s">
        <v>2</v>
      </c>
      <c r="CA5" s="136"/>
      <c r="CB5" s="136"/>
      <c r="CC5" s="136"/>
      <c r="CD5" s="136"/>
      <c r="CE5" s="136"/>
      <c r="CF5" s="136"/>
      <c r="CG5" s="136"/>
      <c r="CH5" s="136"/>
      <c r="CI5" s="18"/>
      <c r="CL5" s="18"/>
      <c r="CM5" s="18"/>
      <c r="CN5" s="19" t="s">
        <v>53</v>
      </c>
      <c r="CO5" s="19"/>
      <c r="CP5" s="41"/>
      <c r="CQ5" s="18"/>
      <c r="CR5" s="135" t="s">
        <v>2</v>
      </c>
      <c r="CS5" s="136"/>
      <c r="CT5" s="136"/>
      <c r="CU5" s="136"/>
      <c r="CV5" s="136"/>
      <c r="CW5" s="136"/>
      <c r="CX5" s="136"/>
      <c r="CY5" s="136"/>
      <c r="CZ5" s="136"/>
      <c r="DA5" s="18"/>
      <c r="DD5" s="4"/>
      <c r="DE5" s="4"/>
      <c r="DF5" s="15" t="s">
        <v>63</v>
      </c>
      <c r="DG5" s="15"/>
      <c r="DH5" s="41"/>
      <c r="DI5" s="4"/>
      <c r="DJ5" s="135" t="s">
        <v>2</v>
      </c>
      <c r="DK5" s="136"/>
      <c r="DL5" s="136"/>
      <c r="DM5" s="136"/>
      <c r="DN5" s="136"/>
      <c r="DO5" s="136"/>
      <c r="DP5" s="136"/>
      <c r="DQ5" s="136"/>
      <c r="DR5" s="136"/>
      <c r="DS5" s="4"/>
      <c r="DW5" s="27"/>
      <c r="DX5" s="56" t="s">
        <v>74</v>
      </c>
      <c r="DY5" s="56"/>
      <c r="DZ5" s="80">
        <f>D9</f>
        <v>0</v>
      </c>
      <c r="EA5" s="80">
        <f>D13</f>
        <v>0</v>
      </c>
      <c r="EB5" s="80">
        <f>D21</f>
        <v>0</v>
      </c>
      <c r="EC5" s="80">
        <f>D19</f>
        <v>0</v>
      </c>
      <c r="ED5" s="80">
        <f>D5</f>
        <v>0</v>
      </c>
      <c r="EE5" s="80">
        <f>D17</f>
        <v>0</v>
      </c>
      <c r="EF5" s="80">
        <f>D7</f>
        <v>0</v>
      </c>
      <c r="EG5" s="80">
        <f>D11</f>
        <v>0</v>
      </c>
      <c r="EH5" s="80">
        <f>D15</f>
        <v>0</v>
      </c>
      <c r="EI5" s="59"/>
      <c r="EJ5" s="61"/>
      <c r="EK5" s="62" t="s">
        <v>82</v>
      </c>
      <c r="EL5" s="63"/>
      <c r="EM5" s="64">
        <f>DZ19</f>
        <v>0</v>
      </c>
      <c r="EN5" s="65"/>
      <c r="EO5" s="26"/>
      <c r="EU5" s="54" t="str">
        <f>EK5</f>
        <v>Implementor</v>
      </c>
      <c r="EV5" s="54">
        <f>EM5</f>
        <v>0</v>
      </c>
    </row>
    <row r="6" spans="1:194" ht="4.95" customHeight="1" thickTop="1" thickBot="1" x14ac:dyDescent="0.35">
      <c r="F6" s="134"/>
      <c r="G6" s="134"/>
      <c r="H6" s="134"/>
      <c r="I6" s="134"/>
      <c r="J6" s="134"/>
      <c r="K6" s="134"/>
      <c r="L6" s="134"/>
      <c r="M6" s="134"/>
      <c r="N6" s="134"/>
      <c r="S6" s="4"/>
      <c r="T6" s="15"/>
      <c r="U6" s="15"/>
      <c r="V6" s="2"/>
      <c r="W6" s="4"/>
      <c r="X6" s="136"/>
      <c r="Y6" s="136"/>
      <c r="Z6" s="136"/>
      <c r="AA6" s="136"/>
      <c r="AB6" s="136"/>
      <c r="AC6" s="136"/>
      <c r="AD6" s="136"/>
      <c r="AE6" s="136"/>
      <c r="AF6" s="136"/>
      <c r="AG6" s="4"/>
      <c r="AJ6" s="4"/>
      <c r="AK6" s="4"/>
      <c r="AL6" s="15"/>
      <c r="AM6" s="15"/>
      <c r="AN6" s="2"/>
      <c r="AO6" s="4"/>
      <c r="AP6" s="136"/>
      <c r="AQ6" s="136"/>
      <c r="AR6" s="136"/>
      <c r="AS6" s="136"/>
      <c r="AT6" s="136"/>
      <c r="AU6" s="136"/>
      <c r="AV6" s="136"/>
      <c r="AW6" s="136"/>
      <c r="AX6" s="136"/>
      <c r="AY6" s="4"/>
      <c r="BB6" s="4"/>
      <c r="BC6" s="4"/>
      <c r="BD6" s="15"/>
      <c r="BE6" s="15"/>
      <c r="BF6" s="2"/>
      <c r="BG6" s="4"/>
      <c r="BH6" s="136"/>
      <c r="BI6" s="136"/>
      <c r="BJ6" s="136"/>
      <c r="BK6" s="136"/>
      <c r="BL6" s="136"/>
      <c r="BM6" s="136"/>
      <c r="BN6" s="136"/>
      <c r="BO6" s="136"/>
      <c r="BP6" s="136"/>
      <c r="BQ6" s="4"/>
      <c r="BT6" s="4"/>
      <c r="BU6" s="4"/>
      <c r="BV6" s="15"/>
      <c r="BW6" s="15"/>
      <c r="BX6" s="2"/>
      <c r="BY6" s="4"/>
      <c r="BZ6" s="136"/>
      <c r="CA6" s="136"/>
      <c r="CB6" s="136"/>
      <c r="CC6" s="136"/>
      <c r="CD6" s="136"/>
      <c r="CE6" s="136"/>
      <c r="CF6" s="136"/>
      <c r="CG6" s="136"/>
      <c r="CH6" s="136"/>
      <c r="CI6" s="4"/>
      <c r="CL6" s="4"/>
      <c r="CM6" s="4"/>
      <c r="CN6" s="15"/>
      <c r="CO6" s="15"/>
      <c r="CP6" s="2"/>
      <c r="CQ6" s="4"/>
      <c r="CR6" s="136"/>
      <c r="CS6" s="136"/>
      <c r="CT6" s="136"/>
      <c r="CU6" s="136"/>
      <c r="CV6" s="136"/>
      <c r="CW6" s="136"/>
      <c r="CX6" s="136"/>
      <c r="CY6" s="136"/>
      <c r="CZ6" s="136"/>
      <c r="DA6" s="4"/>
      <c r="DD6" s="4"/>
      <c r="DE6" s="4"/>
      <c r="DF6" s="15"/>
      <c r="DG6" s="15"/>
      <c r="DH6" s="2"/>
      <c r="DI6" s="4"/>
      <c r="DJ6" s="136"/>
      <c r="DK6" s="136"/>
      <c r="DL6" s="136"/>
      <c r="DM6" s="136"/>
      <c r="DN6" s="136"/>
      <c r="DO6" s="136"/>
      <c r="DP6" s="136"/>
      <c r="DQ6" s="136"/>
      <c r="DR6" s="136"/>
      <c r="DS6" s="4"/>
      <c r="DW6" s="27"/>
      <c r="DX6" s="66"/>
      <c r="DY6" s="66"/>
      <c r="DZ6" s="66"/>
      <c r="EA6" s="66"/>
      <c r="EB6" s="66"/>
      <c r="EC6" s="66"/>
      <c r="ED6" s="66"/>
      <c r="EE6" s="66"/>
      <c r="EF6" s="66"/>
      <c r="EG6" s="66"/>
      <c r="EH6" s="66"/>
      <c r="EI6" s="59"/>
      <c r="EJ6" s="58"/>
      <c r="EK6" s="67"/>
      <c r="EL6" s="58"/>
      <c r="EM6" s="64"/>
      <c r="EN6" s="68"/>
      <c r="EO6" s="25"/>
      <c r="EU6" s="54" t="str">
        <f>EK7</f>
        <v>Coordinator</v>
      </c>
      <c r="EV6" s="54">
        <f>EM7</f>
        <v>0</v>
      </c>
    </row>
    <row r="7" spans="1:194" s="17" customFormat="1" ht="31.95" customHeight="1" thickTop="1" thickBot="1" x14ac:dyDescent="0.35">
      <c r="B7" s="16" t="s">
        <v>3</v>
      </c>
      <c r="C7" s="16"/>
      <c r="D7" s="41"/>
      <c r="F7" s="134"/>
      <c r="G7" s="134"/>
      <c r="H7" s="134"/>
      <c r="I7" s="134"/>
      <c r="J7" s="134"/>
      <c r="K7" s="134"/>
      <c r="L7" s="134"/>
      <c r="M7" s="134"/>
      <c r="N7" s="134"/>
      <c r="S7" s="18"/>
      <c r="T7" s="19" t="s">
        <v>14</v>
      </c>
      <c r="U7" s="19"/>
      <c r="V7" s="41"/>
      <c r="W7" s="18"/>
      <c r="X7" s="136"/>
      <c r="Y7" s="136"/>
      <c r="Z7" s="136"/>
      <c r="AA7" s="136"/>
      <c r="AB7" s="136"/>
      <c r="AC7" s="136"/>
      <c r="AD7" s="136"/>
      <c r="AE7" s="136"/>
      <c r="AF7" s="136"/>
      <c r="AG7" s="18"/>
      <c r="AJ7" s="18"/>
      <c r="AK7" s="18"/>
      <c r="AL7" s="19" t="s">
        <v>24</v>
      </c>
      <c r="AM7" s="19"/>
      <c r="AN7" s="41"/>
      <c r="AO7" s="18"/>
      <c r="AP7" s="136"/>
      <c r="AQ7" s="136"/>
      <c r="AR7" s="136"/>
      <c r="AS7" s="136"/>
      <c r="AT7" s="136"/>
      <c r="AU7" s="136"/>
      <c r="AV7" s="136"/>
      <c r="AW7" s="136"/>
      <c r="AX7" s="136"/>
      <c r="AY7" s="18"/>
      <c r="BB7" s="18"/>
      <c r="BC7" s="18"/>
      <c r="BD7" s="19" t="s">
        <v>34</v>
      </c>
      <c r="BE7" s="19"/>
      <c r="BF7" s="41"/>
      <c r="BG7" s="18"/>
      <c r="BH7" s="136"/>
      <c r="BI7" s="136"/>
      <c r="BJ7" s="136"/>
      <c r="BK7" s="136"/>
      <c r="BL7" s="136"/>
      <c r="BM7" s="136"/>
      <c r="BN7" s="136"/>
      <c r="BO7" s="136"/>
      <c r="BP7" s="136"/>
      <c r="BQ7" s="18"/>
      <c r="BT7" s="18"/>
      <c r="BU7" s="18"/>
      <c r="BV7" s="19" t="s">
        <v>44</v>
      </c>
      <c r="BW7" s="19"/>
      <c r="BX7" s="41"/>
      <c r="BY7" s="18"/>
      <c r="BZ7" s="136"/>
      <c r="CA7" s="136"/>
      <c r="CB7" s="136"/>
      <c r="CC7" s="136"/>
      <c r="CD7" s="136"/>
      <c r="CE7" s="136"/>
      <c r="CF7" s="136"/>
      <c r="CG7" s="136"/>
      <c r="CH7" s="136"/>
      <c r="CI7" s="18"/>
      <c r="CL7" s="18"/>
      <c r="CM7" s="18"/>
      <c r="CN7" s="19" t="s">
        <v>54</v>
      </c>
      <c r="CO7" s="19"/>
      <c r="CP7" s="41"/>
      <c r="CQ7" s="18"/>
      <c r="CR7" s="136"/>
      <c r="CS7" s="136"/>
      <c r="CT7" s="136"/>
      <c r="CU7" s="136"/>
      <c r="CV7" s="136"/>
      <c r="CW7" s="136"/>
      <c r="CX7" s="136"/>
      <c r="CY7" s="136"/>
      <c r="CZ7" s="136"/>
      <c r="DA7" s="18"/>
      <c r="DD7" s="4"/>
      <c r="DE7" s="4"/>
      <c r="DF7" s="15" t="s">
        <v>64</v>
      </c>
      <c r="DG7" s="15"/>
      <c r="DH7" s="41"/>
      <c r="DI7" s="4"/>
      <c r="DJ7" s="136"/>
      <c r="DK7" s="136"/>
      <c r="DL7" s="136"/>
      <c r="DM7" s="136"/>
      <c r="DN7" s="136"/>
      <c r="DO7" s="136"/>
      <c r="DP7" s="136"/>
      <c r="DQ7" s="136"/>
      <c r="DR7" s="136"/>
      <c r="DS7" s="4"/>
      <c r="DW7" s="27"/>
      <c r="DX7" s="56" t="s">
        <v>75</v>
      </c>
      <c r="DY7" s="56"/>
      <c r="DZ7" s="81">
        <f>V5</f>
        <v>0</v>
      </c>
      <c r="EA7" s="81">
        <f>V17</f>
        <v>0</v>
      </c>
      <c r="EB7" s="81">
        <f>V15</f>
        <v>0</v>
      </c>
      <c r="EC7" s="81">
        <f>V11</f>
        <v>0</v>
      </c>
      <c r="ED7" s="81">
        <f>V21</f>
        <v>0</v>
      </c>
      <c r="EE7" s="81">
        <f>V7</f>
        <v>0</v>
      </c>
      <c r="EF7" s="81">
        <f>V9</f>
        <v>0</v>
      </c>
      <c r="EG7" s="81">
        <f>V13</f>
        <v>0</v>
      </c>
      <c r="EH7" s="81">
        <f>V19</f>
        <v>0</v>
      </c>
      <c r="EI7" s="59"/>
      <c r="EJ7" s="61"/>
      <c r="EK7" s="74" t="s">
        <v>83</v>
      </c>
      <c r="EL7" s="75"/>
      <c r="EM7" s="64">
        <f>EA19</f>
        <v>0</v>
      </c>
      <c r="EN7" s="65"/>
      <c r="EO7" s="26"/>
      <c r="EU7" s="54" t="str">
        <f>EK9</f>
        <v>Shaper</v>
      </c>
      <c r="EV7" s="54">
        <f>EM9</f>
        <v>0</v>
      </c>
    </row>
    <row r="8" spans="1:194" ht="4.95" customHeight="1" thickTop="1" thickBot="1" x14ac:dyDescent="0.35">
      <c r="S8" s="4"/>
      <c r="T8" s="15"/>
      <c r="U8" s="15"/>
      <c r="V8" s="2"/>
      <c r="W8" s="4"/>
      <c r="X8" s="4"/>
      <c r="Y8" s="4"/>
      <c r="Z8" s="4"/>
      <c r="AA8" s="4"/>
      <c r="AB8" s="4"/>
      <c r="AC8" s="4"/>
      <c r="AD8" s="4"/>
      <c r="AE8" s="4"/>
      <c r="AF8" s="4"/>
      <c r="AG8" s="4"/>
      <c r="AJ8" s="4"/>
      <c r="AK8" s="4"/>
      <c r="AL8" s="15"/>
      <c r="AM8" s="15"/>
      <c r="AN8" s="2"/>
      <c r="AO8" s="4"/>
      <c r="AP8" s="4"/>
      <c r="AQ8" s="4"/>
      <c r="AR8" s="4"/>
      <c r="AS8" s="4"/>
      <c r="AT8" s="4"/>
      <c r="AU8" s="4"/>
      <c r="AV8" s="4"/>
      <c r="AW8" s="4"/>
      <c r="AX8" s="4"/>
      <c r="AY8" s="4"/>
      <c r="BB8" s="4"/>
      <c r="BC8" s="4"/>
      <c r="BD8" s="15"/>
      <c r="BE8" s="15"/>
      <c r="BF8" s="2"/>
      <c r="BG8" s="4"/>
      <c r="BH8" s="4"/>
      <c r="BI8" s="4"/>
      <c r="BJ8" s="4"/>
      <c r="BK8" s="4"/>
      <c r="BL8" s="4"/>
      <c r="BM8" s="4"/>
      <c r="BN8" s="4"/>
      <c r="BO8" s="4"/>
      <c r="BP8" s="4"/>
      <c r="BQ8" s="4"/>
      <c r="BT8" s="4"/>
      <c r="BU8" s="4"/>
      <c r="BV8" s="15"/>
      <c r="BW8" s="15"/>
      <c r="BX8" s="2"/>
      <c r="BY8" s="4"/>
      <c r="BZ8" s="4"/>
      <c r="CA8" s="4"/>
      <c r="CB8" s="4"/>
      <c r="CC8" s="4"/>
      <c r="CD8" s="4"/>
      <c r="CE8" s="4"/>
      <c r="CF8" s="4"/>
      <c r="CG8" s="4"/>
      <c r="CH8" s="4"/>
      <c r="CI8" s="4"/>
      <c r="CL8" s="4"/>
      <c r="CM8" s="4"/>
      <c r="CN8" s="15"/>
      <c r="CO8" s="15"/>
      <c r="CP8" s="2"/>
      <c r="CQ8" s="4"/>
      <c r="CR8" s="4"/>
      <c r="CS8" s="4"/>
      <c r="CT8" s="4"/>
      <c r="CU8" s="4"/>
      <c r="CV8" s="4"/>
      <c r="CW8" s="4"/>
      <c r="CX8" s="4"/>
      <c r="CY8" s="4"/>
      <c r="CZ8" s="4"/>
      <c r="DA8" s="4"/>
      <c r="DD8" s="4"/>
      <c r="DE8" s="4"/>
      <c r="DF8" s="15"/>
      <c r="DG8" s="15"/>
      <c r="DH8" s="2"/>
      <c r="DI8" s="4"/>
      <c r="DJ8" s="4"/>
      <c r="DK8" s="4"/>
      <c r="DL8" s="4"/>
      <c r="DM8" s="4"/>
      <c r="DN8" s="4"/>
      <c r="DO8" s="4"/>
      <c r="DP8" s="4"/>
      <c r="DQ8" s="4"/>
      <c r="DR8" s="4"/>
      <c r="DS8" s="4"/>
      <c r="DW8" s="27"/>
      <c r="DX8" s="66"/>
      <c r="DY8" s="66"/>
      <c r="DZ8" s="66"/>
      <c r="EA8" s="66"/>
      <c r="EB8" s="66"/>
      <c r="EC8" s="66"/>
      <c r="ED8" s="66"/>
      <c r="EE8" s="66"/>
      <c r="EF8" s="66"/>
      <c r="EG8" s="66"/>
      <c r="EH8" s="66"/>
      <c r="EI8" s="59"/>
      <c r="EJ8" s="58"/>
      <c r="EK8" s="67"/>
      <c r="EL8" s="58"/>
      <c r="EM8" s="64"/>
      <c r="EN8" s="68"/>
      <c r="EO8" s="25"/>
      <c r="EU8" s="54" t="str">
        <f>EK11</f>
        <v>Plant</v>
      </c>
      <c r="EV8" s="54">
        <f>EM11</f>
        <v>0</v>
      </c>
    </row>
    <row r="9" spans="1:194" s="17" customFormat="1" ht="31.95" customHeight="1" thickTop="1" thickBot="1" x14ac:dyDescent="0.35">
      <c r="B9" s="16" t="s">
        <v>4</v>
      </c>
      <c r="C9" s="16"/>
      <c r="D9" s="41"/>
      <c r="S9" s="18"/>
      <c r="T9" s="19" t="s">
        <v>15</v>
      </c>
      <c r="U9" s="19"/>
      <c r="V9" s="41"/>
      <c r="W9" s="18"/>
      <c r="X9" s="18"/>
      <c r="Y9" s="18"/>
      <c r="Z9" s="18"/>
      <c r="AA9" s="18"/>
      <c r="AB9" s="18"/>
      <c r="AC9" s="18"/>
      <c r="AD9" s="18"/>
      <c r="AE9" s="18"/>
      <c r="AF9" s="18"/>
      <c r="AG9" s="18"/>
      <c r="AJ9" s="18"/>
      <c r="AK9" s="18"/>
      <c r="AL9" s="19" t="s">
        <v>25</v>
      </c>
      <c r="AM9" s="19"/>
      <c r="AN9" s="41"/>
      <c r="AO9" s="18"/>
      <c r="AP9" s="18"/>
      <c r="AQ9" s="18"/>
      <c r="AR9" s="18"/>
      <c r="AS9" s="18"/>
      <c r="AT9" s="128" t="str">
        <f>IF(AS11&gt;0,"YOU HAVE NOT USED ALL OF YOUR POINTS YET","")</f>
        <v>YOU HAVE NOT USED ALL OF YOUR POINTS YET</v>
      </c>
      <c r="AU9" s="128"/>
      <c r="AV9" s="128"/>
      <c r="AW9" s="128"/>
      <c r="AX9" s="18"/>
      <c r="AY9" s="18"/>
      <c r="BB9" s="18"/>
      <c r="BC9" s="18"/>
      <c r="BD9" s="19" t="s">
        <v>35</v>
      </c>
      <c r="BE9" s="19"/>
      <c r="BF9" s="41"/>
      <c r="BG9" s="18"/>
      <c r="BH9" s="18"/>
      <c r="BI9" s="18"/>
      <c r="BJ9" s="18"/>
      <c r="BK9" s="18"/>
      <c r="BL9" s="18"/>
      <c r="BM9" s="18"/>
      <c r="BN9" s="18"/>
      <c r="BO9" s="18"/>
      <c r="BP9" s="18"/>
      <c r="BQ9" s="18"/>
      <c r="BT9" s="18"/>
      <c r="BU9" s="18"/>
      <c r="BV9" s="19" t="s">
        <v>45</v>
      </c>
      <c r="BW9" s="19"/>
      <c r="BX9" s="41"/>
      <c r="BY9" s="18"/>
      <c r="BZ9" s="18"/>
      <c r="CA9" s="18"/>
      <c r="CB9" s="18"/>
      <c r="CC9" s="18"/>
      <c r="CD9" s="18"/>
      <c r="CE9" s="18"/>
      <c r="CF9" s="18"/>
      <c r="CG9" s="18"/>
      <c r="CH9" s="18"/>
      <c r="CI9" s="18"/>
      <c r="CL9" s="18"/>
      <c r="CM9" s="18"/>
      <c r="CN9" s="19" t="s">
        <v>55</v>
      </c>
      <c r="CO9" s="19"/>
      <c r="CP9" s="41"/>
      <c r="CQ9" s="18"/>
      <c r="CR9" s="18"/>
      <c r="CS9" s="18"/>
      <c r="CT9" s="18"/>
      <c r="CU9" s="18"/>
      <c r="CV9" s="18"/>
      <c r="CW9" s="18"/>
      <c r="CX9" s="18"/>
      <c r="CY9" s="18"/>
      <c r="CZ9" s="18"/>
      <c r="DA9" s="18"/>
      <c r="DD9" s="4"/>
      <c r="DE9" s="4"/>
      <c r="DF9" s="15" t="s">
        <v>65</v>
      </c>
      <c r="DG9" s="15"/>
      <c r="DH9" s="41"/>
      <c r="DI9" s="4"/>
      <c r="DJ9" s="4"/>
      <c r="DK9" s="4"/>
      <c r="DL9" s="4"/>
      <c r="DM9" s="4"/>
      <c r="DN9" s="4"/>
      <c r="DO9" s="4"/>
      <c r="DP9" s="4"/>
      <c r="DQ9" s="4"/>
      <c r="DR9" s="4"/>
      <c r="DS9" s="4"/>
      <c r="DW9" s="27"/>
      <c r="DX9" s="56" t="s">
        <v>76</v>
      </c>
      <c r="DY9" s="56"/>
      <c r="DZ9" s="81">
        <f>AN21</f>
        <v>0</v>
      </c>
      <c r="EA9" s="81">
        <f>AN9</f>
        <v>0</v>
      </c>
      <c r="EB9" s="81">
        <f>AN19</f>
        <v>0</v>
      </c>
      <c r="EC9" s="81">
        <f>AN5</f>
        <v>0</v>
      </c>
      <c r="ED9" s="81">
        <f>AN11</f>
        <v>0</v>
      </c>
      <c r="EE9" s="81">
        <f>AN15</f>
        <v>0</v>
      </c>
      <c r="EF9" s="81">
        <f>AN17</f>
        <v>0</v>
      </c>
      <c r="EG9" s="81">
        <f>AN7</f>
        <v>0</v>
      </c>
      <c r="EH9" s="81">
        <f>AN13</f>
        <v>0</v>
      </c>
      <c r="EI9" s="59"/>
      <c r="EJ9" s="61"/>
      <c r="EK9" s="62" t="s">
        <v>84</v>
      </c>
      <c r="EL9" s="63"/>
      <c r="EM9" s="64">
        <f>EB19</f>
        <v>0</v>
      </c>
      <c r="EN9" s="65"/>
      <c r="EO9" s="26"/>
      <c r="EU9" s="54" t="str">
        <f>EK13</f>
        <v>Resource Investigator</v>
      </c>
      <c r="EV9" s="54">
        <f>EM13</f>
        <v>0</v>
      </c>
    </row>
    <row r="10" spans="1:194" ht="4.95" customHeight="1" thickTop="1" thickBot="1" x14ac:dyDescent="0.35">
      <c r="S10" s="4"/>
      <c r="T10" s="15"/>
      <c r="U10" s="15"/>
      <c r="V10" s="2"/>
      <c r="W10" s="4"/>
      <c r="X10" s="4"/>
      <c r="Y10" s="4"/>
      <c r="Z10" s="4"/>
      <c r="AA10" s="4"/>
      <c r="AB10" s="4"/>
      <c r="AC10" s="4"/>
      <c r="AD10" s="4"/>
      <c r="AE10" s="4"/>
      <c r="AF10" s="4"/>
      <c r="AG10" s="4"/>
      <c r="AJ10" s="4"/>
      <c r="AK10" s="4"/>
      <c r="AL10" s="15"/>
      <c r="AM10" s="15"/>
      <c r="AN10" s="2"/>
      <c r="AO10" s="4"/>
      <c r="AP10" s="4"/>
      <c r="AQ10" s="4"/>
      <c r="AR10" s="4"/>
      <c r="AS10" s="4"/>
      <c r="AT10" s="4"/>
      <c r="AU10" s="4"/>
      <c r="AV10" s="4"/>
      <c r="AW10" s="4"/>
      <c r="AX10" s="4"/>
      <c r="AY10" s="4"/>
      <c r="BB10" s="4"/>
      <c r="BC10" s="4"/>
      <c r="BD10" s="15"/>
      <c r="BE10" s="15"/>
      <c r="BF10" s="2"/>
      <c r="BG10" s="4"/>
      <c r="BH10" s="4"/>
      <c r="BI10" s="4"/>
      <c r="BJ10" s="4"/>
      <c r="BK10" s="4"/>
      <c r="BL10" s="4"/>
      <c r="BM10" s="4"/>
      <c r="BN10" s="4"/>
      <c r="BO10" s="4"/>
      <c r="BP10" s="4"/>
      <c r="BQ10" s="4"/>
      <c r="BT10" s="4"/>
      <c r="BU10" s="4"/>
      <c r="BV10" s="15"/>
      <c r="BW10" s="15"/>
      <c r="BX10" s="2"/>
      <c r="BY10" s="4"/>
      <c r="BZ10" s="4"/>
      <c r="CA10" s="4"/>
      <c r="CB10" s="4"/>
      <c r="CC10" s="4"/>
      <c r="CD10" s="4"/>
      <c r="CE10" s="4"/>
      <c r="CF10" s="4"/>
      <c r="CG10" s="4"/>
      <c r="CH10" s="4"/>
      <c r="CI10" s="4"/>
      <c r="CL10" s="4"/>
      <c r="CM10" s="4"/>
      <c r="CN10" s="15"/>
      <c r="CO10" s="15"/>
      <c r="CP10" s="2"/>
      <c r="CQ10" s="4"/>
      <c r="CR10" s="4"/>
      <c r="CS10" s="4"/>
      <c r="CT10" s="4"/>
      <c r="CU10" s="4"/>
      <c r="CV10" s="4"/>
      <c r="CW10" s="4"/>
      <c r="CX10" s="4"/>
      <c r="CY10" s="4"/>
      <c r="CZ10" s="4"/>
      <c r="DA10" s="4"/>
      <c r="DD10" s="4"/>
      <c r="DE10" s="4"/>
      <c r="DF10" s="15"/>
      <c r="DG10" s="15"/>
      <c r="DH10" s="2"/>
      <c r="DI10" s="4"/>
      <c r="DJ10" s="4"/>
      <c r="DK10" s="4"/>
      <c r="DL10" s="4"/>
      <c r="DM10" s="4"/>
      <c r="DN10" s="4"/>
      <c r="DO10" s="4"/>
      <c r="DP10" s="4"/>
      <c r="DQ10" s="4"/>
      <c r="DR10" s="4"/>
      <c r="DS10" s="4"/>
      <c r="DW10" s="27"/>
      <c r="DX10" s="66"/>
      <c r="DY10" s="66"/>
      <c r="DZ10" s="66"/>
      <c r="EA10" s="66"/>
      <c r="EB10" s="66"/>
      <c r="EC10" s="66"/>
      <c r="ED10" s="66"/>
      <c r="EE10" s="66"/>
      <c r="EF10" s="66"/>
      <c r="EG10" s="66"/>
      <c r="EH10" s="66"/>
      <c r="EI10" s="59"/>
      <c r="EJ10" s="58"/>
      <c r="EK10" s="67"/>
      <c r="EL10" s="58"/>
      <c r="EM10" s="64"/>
      <c r="EN10" s="68"/>
      <c r="EO10" s="25"/>
      <c r="EU10" s="54" t="str">
        <f>EK15</f>
        <v>Monitor Evaluator</v>
      </c>
      <c r="EV10" s="54">
        <f>EM15</f>
        <v>0</v>
      </c>
    </row>
    <row r="11" spans="1:194" s="17" customFormat="1" ht="31.95" customHeight="1" thickTop="1" thickBot="1" x14ac:dyDescent="0.35">
      <c r="B11" s="16" t="s">
        <v>5</v>
      </c>
      <c r="C11" s="16"/>
      <c r="D11" s="41"/>
      <c r="F11" s="129" t="s">
        <v>6</v>
      </c>
      <c r="G11" s="129"/>
      <c r="I11" s="22">
        <f>10-SUM(D5,D7,D9,D11,D13,D15,D17,D19,D21)</f>
        <v>10</v>
      </c>
      <c r="J11" s="126" t="str">
        <f>IF(I11&lt;0,"TOO MANY POINTS!","")</f>
        <v/>
      </c>
      <c r="K11" s="126"/>
      <c r="L11" s="126"/>
      <c r="M11" s="126"/>
      <c r="S11" s="18"/>
      <c r="T11" s="19" t="s">
        <v>16</v>
      </c>
      <c r="U11" s="19"/>
      <c r="V11" s="41"/>
      <c r="W11" s="18"/>
      <c r="X11" s="125" t="s">
        <v>6</v>
      </c>
      <c r="Y11" s="125"/>
      <c r="Z11" s="18"/>
      <c r="AA11" s="23">
        <f>10-SUM(V5,V7,V9,V11,V13,V15,V17,V19,V21)</f>
        <v>10</v>
      </c>
      <c r="AB11" s="126" t="str">
        <f>IF(AA11&lt;0,"TOO MANY POINTS!","")</f>
        <v/>
      </c>
      <c r="AC11" s="126"/>
      <c r="AD11" s="126"/>
      <c r="AE11" s="126"/>
      <c r="AF11" s="20"/>
      <c r="AG11" s="18"/>
      <c r="AJ11" s="18"/>
      <c r="AK11" s="18"/>
      <c r="AL11" s="19" t="s">
        <v>26</v>
      </c>
      <c r="AM11" s="19"/>
      <c r="AN11" s="41"/>
      <c r="AO11" s="18"/>
      <c r="AP11" s="125" t="s">
        <v>6</v>
      </c>
      <c r="AQ11" s="125"/>
      <c r="AR11" s="18"/>
      <c r="AS11" s="23">
        <f>10-SUM(AN5,AN7,AN9,AN11,AN13,AN15,AN17,AN19,AN21)</f>
        <v>10</v>
      </c>
      <c r="AT11" s="126" t="str">
        <f>IF(AS11&lt;0,"TOO MANY POINTS!","")</f>
        <v/>
      </c>
      <c r="AU11" s="126"/>
      <c r="AV11" s="126"/>
      <c r="AW11" s="126"/>
      <c r="AX11" s="20"/>
      <c r="AY11" s="18"/>
      <c r="BB11" s="18"/>
      <c r="BC11" s="18"/>
      <c r="BD11" s="19" t="s">
        <v>36</v>
      </c>
      <c r="BE11" s="19"/>
      <c r="BF11" s="41"/>
      <c r="BG11" s="18"/>
      <c r="BH11" s="125" t="s">
        <v>6</v>
      </c>
      <c r="BI11" s="125"/>
      <c r="BJ11" s="18"/>
      <c r="BK11" s="23">
        <f>10-SUM(BF5,BF7,BF9,BF11,BF13,BF15,BF17,BF19,BF21)</f>
        <v>10</v>
      </c>
      <c r="BL11" s="126" t="str">
        <f>IF(BK11&lt;0,"TOO MANY POINTS!","")</f>
        <v/>
      </c>
      <c r="BM11" s="126"/>
      <c r="BN11" s="126"/>
      <c r="BO11" s="126"/>
      <c r="BP11" s="20"/>
      <c r="BQ11" s="18"/>
      <c r="BT11" s="18"/>
      <c r="BU11" s="18"/>
      <c r="BV11" s="19" t="s">
        <v>46</v>
      </c>
      <c r="BW11" s="19"/>
      <c r="BX11" s="41"/>
      <c r="BY11" s="18"/>
      <c r="BZ11" s="125" t="s">
        <v>6</v>
      </c>
      <c r="CA11" s="125"/>
      <c r="CB11" s="18"/>
      <c r="CC11" s="23">
        <f>10-SUM(BX5,BX7,BX9,BX11,BX13,BX15,BX17,BX19,BX21)</f>
        <v>10</v>
      </c>
      <c r="CD11" s="126" t="str">
        <f>IF(CC11&lt;0,"TOO MANY POINTS!","")</f>
        <v/>
      </c>
      <c r="CE11" s="126"/>
      <c r="CF11" s="126"/>
      <c r="CG11" s="126"/>
      <c r="CH11" s="20"/>
      <c r="CI11" s="18"/>
      <c r="CL11" s="18"/>
      <c r="CM11" s="18"/>
      <c r="CN11" s="19" t="s">
        <v>56</v>
      </c>
      <c r="CO11" s="19"/>
      <c r="CP11" s="41"/>
      <c r="CQ11" s="18"/>
      <c r="CR11" s="125" t="s">
        <v>6</v>
      </c>
      <c r="CS11" s="125"/>
      <c r="CT11" s="18"/>
      <c r="CU11" s="23">
        <f>10-SUM(CP5,CP7,CP9,CP11,CP13,CP15,CP17,CP19,CP21)</f>
        <v>10</v>
      </c>
      <c r="CV11" s="126" t="str">
        <f>IF(CU11&lt;0,"TOO MANY POINTS!","")</f>
        <v/>
      </c>
      <c r="CW11" s="126"/>
      <c r="CX11" s="126"/>
      <c r="CY11" s="126"/>
      <c r="CZ11" s="20"/>
      <c r="DA11" s="18"/>
      <c r="DD11" s="4"/>
      <c r="DE11" s="4"/>
      <c r="DF11" s="15" t="s">
        <v>66</v>
      </c>
      <c r="DG11" s="15"/>
      <c r="DH11" s="41"/>
      <c r="DI11" s="4"/>
      <c r="DJ11" s="125" t="s">
        <v>6</v>
      </c>
      <c r="DK11" s="125"/>
      <c r="DL11" s="4"/>
      <c r="DM11" s="23">
        <f>10-SUM(DH5,DH7,DH9,DH11,DH13,DH15,DH17,DH19,DH21)</f>
        <v>10</v>
      </c>
      <c r="DN11" s="126" t="str">
        <f>IF(DM11&lt;0,"TOO MANY POINTS!","")</f>
        <v/>
      </c>
      <c r="DO11" s="126"/>
      <c r="DP11" s="126"/>
      <c r="DQ11" s="126"/>
      <c r="DR11" s="21"/>
      <c r="DS11" s="4"/>
      <c r="DW11" s="27"/>
      <c r="DX11" s="56" t="s">
        <v>77</v>
      </c>
      <c r="DY11" s="56"/>
      <c r="DZ11" s="81">
        <f>BF11</f>
        <v>0</v>
      </c>
      <c r="EA11" s="81">
        <f>BF7</f>
        <v>0</v>
      </c>
      <c r="EB11" s="81">
        <f>BF9</f>
        <v>0</v>
      </c>
      <c r="EC11" s="81">
        <f>BF13</f>
        <v>0</v>
      </c>
      <c r="ED11" s="81">
        <f>BF15</f>
        <v>0</v>
      </c>
      <c r="EE11" s="81">
        <f>BF19</f>
        <v>0</v>
      </c>
      <c r="EF11" s="81">
        <f>BF5</f>
        <v>0</v>
      </c>
      <c r="EG11" s="81">
        <f>BF17</f>
        <v>0</v>
      </c>
      <c r="EH11" s="81">
        <f>BF21</f>
        <v>0</v>
      </c>
      <c r="EI11" s="59"/>
      <c r="EJ11" s="61"/>
      <c r="EK11" s="74" t="s">
        <v>85</v>
      </c>
      <c r="EL11" s="75"/>
      <c r="EM11" s="64">
        <f>EC19</f>
        <v>0</v>
      </c>
      <c r="EN11" s="65"/>
      <c r="EO11" s="26"/>
      <c r="EU11" s="54" t="str">
        <f>EK17</f>
        <v>Team Worker</v>
      </c>
      <c r="EV11" s="54">
        <f>EM17</f>
        <v>0</v>
      </c>
    </row>
    <row r="12" spans="1:194" ht="4.95" customHeight="1" thickTop="1" thickBot="1" x14ac:dyDescent="0.35">
      <c r="J12" s="4"/>
      <c r="K12" s="4"/>
      <c r="L12" s="4"/>
      <c r="M12" s="4"/>
      <c r="S12" s="4"/>
      <c r="T12" s="15"/>
      <c r="U12" s="15"/>
      <c r="V12" s="2"/>
      <c r="W12" s="4"/>
      <c r="X12" s="4"/>
      <c r="Y12" s="4"/>
      <c r="Z12" s="4"/>
      <c r="AA12" s="4"/>
      <c r="AB12" s="4"/>
      <c r="AC12" s="4"/>
      <c r="AD12" s="4"/>
      <c r="AE12" s="4"/>
      <c r="AF12" s="21"/>
      <c r="AG12" s="4"/>
      <c r="AJ12" s="4"/>
      <c r="AK12" s="4"/>
      <c r="AL12" s="15"/>
      <c r="AM12" s="15"/>
      <c r="AN12" s="2"/>
      <c r="AO12" s="4"/>
      <c r="AP12" s="4"/>
      <c r="AQ12" s="4"/>
      <c r="AR12" s="4"/>
      <c r="AS12" s="4"/>
      <c r="AT12" s="4"/>
      <c r="AU12" s="4"/>
      <c r="AV12" s="4"/>
      <c r="AW12" s="4"/>
      <c r="AX12" s="21"/>
      <c r="AY12" s="4"/>
      <c r="BB12" s="4"/>
      <c r="BC12" s="4"/>
      <c r="BD12" s="15"/>
      <c r="BE12" s="15"/>
      <c r="BF12" s="2"/>
      <c r="BG12" s="4"/>
      <c r="BH12" s="4"/>
      <c r="BI12" s="4"/>
      <c r="BJ12" s="4"/>
      <c r="BK12" s="4"/>
      <c r="BL12" s="4"/>
      <c r="BM12" s="4"/>
      <c r="BN12" s="4"/>
      <c r="BO12" s="4"/>
      <c r="BP12" s="21"/>
      <c r="BQ12" s="4"/>
      <c r="BT12" s="4"/>
      <c r="BU12" s="4"/>
      <c r="BV12" s="15"/>
      <c r="BW12" s="15"/>
      <c r="BX12" s="2"/>
      <c r="BY12" s="4"/>
      <c r="BZ12" s="4"/>
      <c r="CA12" s="4"/>
      <c r="CB12" s="4"/>
      <c r="CC12" s="4"/>
      <c r="CD12" s="4"/>
      <c r="CE12" s="4"/>
      <c r="CF12" s="4"/>
      <c r="CG12" s="4"/>
      <c r="CH12" s="21"/>
      <c r="CI12" s="4"/>
      <c r="CL12" s="4"/>
      <c r="CM12" s="4"/>
      <c r="CN12" s="15"/>
      <c r="CO12" s="15"/>
      <c r="CP12" s="2"/>
      <c r="CQ12" s="4"/>
      <c r="CR12" s="4"/>
      <c r="CS12" s="4"/>
      <c r="CT12" s="4"/>
      <c r="CU12" s="4"/>
      <c r="CV12" s="4"/>
      <c r="CW12" s="4"/>
      <c r="CX12" s="4"/>
      <c r="CY12" s="4"/>
      <c r="CZ12" s="21"/>
      <c r="DA12" s="4"/>
      <c r="DD12" s="4"/>
      <c r="DE12" s="4"/>
      <c r="DF12" s="15"/>
      <c r="DG12" s="15"/>
      <c r="DH12" s="2"/>
      <c r="DI12" s="4"/>
      <c r="DJ12" s="4"/>
      <c r="DK12" s="4"/>
      <c r="DL12" s="4"/>
      <c r="DM12" s="4"/>
      <c r="DN12" s="4"/>
      <c r="DO12" s="4"/>
      <c r="DP12" s="4"/>
      <c r="DQ12" s="4"/>
      <c r="DR12" s="21"/>
      <c r="DS12" s="4"/>
      <c r="DW12" s="27"/>
      <c r="DX12" s="66"/>
      <c r="DY12" s="66"/>
      <c r="DZ12" s="66"/>
      <c r="EA12" s="66"/>
      <c r="EB12" s="66"/>
      <c r="EC12" s="66"/>
      <c r="ED12" s="66"/>
      <c r="EE12" s="66"/>
      <c r="EF12" s="66"/>
      <c r="EG12" s="66"/>
      <c r="EH12" s="66"/>
      <c r="EI12" s="59"/>
      <c r="EJ12" s="58"/>
      <c r="EK12" s="67"/>
      <c r="EL12" s="58"/>
      <c r="EM12" s="64"/>
      <c r="EN12" s="68"/>
      <c r="EO12" s="25"/>
      <c r="EU12" s="54" t="str">
        <f>EK19</f>
        <v>Complete Finisher</v>
      </c>
      <c r="EV12" s="54">
        <f>EM19</f>
        <v>0</v>
      </c>
    </row>
    <row r="13" spans="1:194" s="17" customFormat="1" ht="31.95" customHeight="1" thickTop="1" thickBot="1" x14ac:dyDescent="0.35">
      <c r="B13" s="16" t="s">
        <v>7</v>
      </c>
      <c r="C13" s="16"/>
      <c r="D13" s="41"/>
      <c r="J13" s="127" t="str">
        <f>IF(I11&gt;0,"YOU HAVE NOT USED ALL OF YOUR POINTS YET","")</f>
        <v>YOU HAVE NOT USED ALL OF YOUR POINTS YET</v>
      </c>
      <c r="K13" s="127"/>
      <c r="L13" s="127"/>
      <c r="M13" s="127"/>
      <c r="S13" s="18"/>
      <c r="T13" s="19" t="s">
        <v>17</v>
      </c>
      <c r="U13" s="19"/>
      <c r="V13" s="41"/>
      <c r="W13" s="18"/>
      <c r="X13" s="18"/>
      <c r="Y13" s="18"/>
      <c r="Z13" s="18"/>
      <c r="AA13" s="18"/>
      <c r="AB13" s="127" t="str">
        <f>IF(AA11&gt;0,"YOU HAVE NOT USED ALL OF YOUR POINTS YET","")</f>
        <v>YOU HAVE NOT USED ALL OF YOUR POINTS YET</v>
      </c>
      <c r="AC13" s="127"/>
      <c r="AD13" s="127"/>
      <c r="AE13" s="127"/>
      <c r="AF13" s="20"/>
      <c r="AG13" s="18"/>
      <c r="AJ13" s="18"/>
      <c r="AK13" s="18"/>
      <c r="AL13" s="19" t="s">
        <v>27</v>
      </c>
      <c r="AM13" s="19"/>
      <c r="AN13" s="41"/>
      <c r="AO13" s="18"/>
      <c r="AP13" s="18"/>
      <c r="AQ13" s="18"/>
      <c r="AR13" s="18"/>
      <c r="AS13" s="18"/>
      <c r="AT13" s="127" t="str">
        <f>IF(AS11&gt;0,"YOU HAVE NOT USED ALL OF YOUR POINTS YET","")</f>
        <v>YOU HAVE NOT USED ALL OF YOUR POINTS YET</v>
      </c>
      <c r="AU13" s="127"/>
      <c r="AV13" s="127"/>
      <c r="AW13" s="127"/>
      <c r="AX13" s="20"/>
      <c r="AY13" s="18"/>
      <c r="BB13" s="18"/>
      <c r="BC13" s="18"/>
      <c r="BD13" s="19" t="s">
        <v>37</v>
      </c>
      <c r="BE13" s="19"/>
      <c r="BF13" s="41"/>
      <c r="BG13" s="18"/>
      <c r="BH13" s="18"/>
      <c r="BI13" s="18"/>
      <c r="BJ13" s="18"/>
      <c r="BK13" s="18"/>
      <c r="BL13" s="127" t="str">
        <f>IF(BK11&gt;0,"YOU HAVE NOT USED ALL OF YOUR POINTS YET","")</f>
        <v>YOU HAVE NOT USED ALL OF YOUR POINTS YET</v>
      </c>
      <c r="BM13" s="127"/>
      <c r="BN13" s="127"/>
      <c r="BO13" s="127"/>
      <c r="BP13" s="20"/>
      <c r="BQ13" s="18"/>
      <c r="BT13" s="18"/>
      <c r="BU13" s="18"/>
      <c r="BV13" s="19" t="s">
        <v>47</v>
      </c>
      <c r="BW13" s="19"/>
      <c r="BX13" s="41"/>
      <c r="BY13" s="18"/>
      <c r="BZ13" s="18"/>
      <c r="CA13" s="18"/>
      <c r="CB13" s="18"/>
      <c r="CC13" s="18"/>
      <c r="CD13" s="127" t="str">
        <f>IF(CC11&gt;0,"YOU HAVE NOT USED ALL OF YOUR POINTS YET","")</f>
        <v>YOU HAVE NOT USED ALL OF YOUR POINTS YET</v>
      </c>
      <c r="CE13" s="127"/>
      <c r="CF13" s="127"/>
      <c r="CG13" s="127"/>
      <c r="CH13" s="20"/>
      <c r="CI13" s="18"/>
      <c r="CL13" s="18"/>
      <c r="CM13" s="18"/>
      <c r="CN13" s="19" t="s">
        <v>57</v>
      </c>
      <c r="CO13" s="19"/>
      <c r="CP13" s="41"/>
      <c r="CQ13" s="18"/>
      <c r="CR13" s="18"/>
      <c r="CS13" s="18"/>
      <c r="CT13" s="18"/>
      <c r="CU13" s="18"/>
      <c r="CV13" s="127" t="str">
        <f>IF(CU11&gt;0,"YOU HAVE NOT USED ALL OF YOUR POINTS YET","")</f>
        <v>YOU HAVE NOT USED ALL OF YOUR POINTS YET</v>
      </c>
      <c r="CW13" s="127"/>
      <c r="CX13" s="127"/>
      <c r="CY13" s="127"/>
      <c r="CZ13" s="20"/>
      <c r="DA13" s="18"/>
      <c r="DD13" s="4"/>
      <c r="DE13" s="4"/>
      <c r="DF13" s="15" t="s">
        <v>67</v>
      </c>
      <c r="DG13" s="15"/>
      <c r="DH13" s="41"/>
      <c r="DI13" s="4"/>
      <c r="DJ13" s="4"/>
      <c r="DK13" s="4"/>
      <c r="DL13" s="4"/>
      <c r="DM13" s="4"/>
      <c r="DN13" s="127" t="str">
        <f>IF(DM11&gt;0,"YOU HAVE NOT USED ALL OF YOUR POINTS YET","")</f>
        <v>YOU HAVE NOT USED ALL OF YOUR POINTS YET</v>
      </c>
      <c r="DO13" s="127"/>
      <c r="DP13" s="127"/>
      <c r="DQ13" s="127"/>
      <c r="DR13" s="21"/>
      <c r="DS13" s="4"/>
      <c r="DW13" s="27"/>
      <c r="DX13" s="56" t="s">
        <v>78</v>
      </c>
      <c r="DY13" s="56"/>
      <c r="DZ13" s="81">
        <f>BX13</f>
        <v>0</v>
      </c>
      <c r="EA13" s="81">
        <f>BX19</f>
        <v>0</v>
      </c>
      <c r="EB13" s="81">
        <f>BX21</f>
        <v>0</v>
      </c>
      <c r="EC13" s="81">
        <f>BX9</f>
        <v>0</v>
      </c>
      <c r="ED13" s="81">
        <f>BX17</f>
        <v>0</v>
      </c>
      <c r="EE13" s="81">
        <f>BX5</f>
        <v>0</v>
      </c>
      <c r="EF13" s="81">
        <f>BX15</f>
        <v>0</v>
      </c>
      <c r="EG13" s="81">
        <f>BX11</f>
        <v>0</v>
      </c>
      <c r="EH13" s="81">
        <f>BX7</f>
        <v>0</v>
      </c>
      <c r="EI13" s="59"/>
      <c r="EJ13" s="61"/>
      <c r="EK13" s="62" t="s">
        <v>86</v>
      </c>
      <c r="EL13" s="63"/>
      <c r="EM13" s="64">
        <f>ED19</f>
        <v>0</v>
      </c>
      <c r="EN13" s="65"/>
      <c r="EO13" s="26"/>
      <c r="EU13" s="54" t="str">
        <f>EK21</f>
        <v>Specialist</v>
      </c>
      <c r="EV13" s="54">
        <f>EM21</f>
        <v>0</v>
      </c>
    </row>
    <row r="14" spans="1:194" ht="4.95" customHeight="1" thickTop="1" thickBot="1" x14ac:dyDescent="0.35">
      <c r="J14" s="4"/>
      <c r="K14" s="4"/>
      <c r="L14" s="4"/>
      <c r="M14" s="4"/>
      <c r="S14" s="4"/>
      <c r="T14" s="15"/>
      <c r="U14" s="15"/>
      <c r="V14" s="2"/>
      <c r="W14" s="4"/>
      <c r="X14" s="4"/>
      <c r="Y14" s="4"/>
      <c r="Z14" s="4"/>
      <c r="AA14" s="4"/>
      <c r="AB14" s="4"/>
      <c r="AC14" s="4"/>
      <c r="AD14" s="4"/>
      <c r="AE14" s="4"/>
      <c r="AF14" s="21"/>
      <c r="AG14" s="4"/>
      <c r="AJ14" s="4"/>
      <c r="AK14" s="4"/>
      <c r="AL14" s="15"/>
      <c r="AM14" s="15"/>
      <c r="AN14" s="2"/>
      <c r="AO14" s="4"/>
      <c r="AP14" s="4"/>
      <c r="AQ14" s="4"/>
      <c r="AR14" s="4"/>
      <c r="AS14" s="4"/>
      <c r="AT14" s="4"/>
      <c r="AU14" s="4"/>
      <c r="AV14" s="4"/>
      <c r="AW14" s="4"/>
      <c r="AX14" s="21"/>
      <c r="AY14" s="4"/>
      <c r="BB14" s="4"/>
      <c r="BC14" s="4"/>
      <c r="BD14" s="15"/>
      <c r="BE14" s="15"/>
      <c r="BF14" s="2"/>
      <c r="BG14" s="4"/>
      <c r="BH14" s="4"/>
      <c r="BI14" s="4"/>
      <c r="BJ14" s="4"/>
      <c r="BK14" s="4"/>
      <c r="BL14" s="4"/>
      <c r="BM14" s="4"/>
      <c r="BN14" s="4"/>
      <c r="BO14" s="4"/>
      <c r="BP14" s="21"/>
      <c r="BQ14" s="4"/>
      <c r="BT14" s="4"/>
      <c r="BU14" s="4"/>
      <c r="BV14" s="15"/>
      <c r="BW14" s="15"/>
      <c r="BX14" s="2"/>
      <c r="BY14" s="4"/>
      <c r="BZ14" s="4"/>
      <c r="CA14" s="4"/>
      <c r="CB14" s="4"/>
      <c r="CC14" s="4"/>
      <c r="CD14" s="4"/>
      <c r="CE14" s="4"/>
      <c r="CF14" s="4"/>
      <c r="CG14" s="4"/>
      <c r="CH14" s="21"/>
      <c r="CI14" s="4"/>
      <c r="CL14" s="4"/>
      <c r="CM14" s="4"/>
      <c r="CN14" s="15"/>
      <c r="CO14" s="15"/>
      <c r="CP14" s="2"/>
      <c r="CQ14" s="4"/>
      <c r="CR14" s="4"/>
      <c r="CS14" s="4"/>
      <c r="CT14" s="4"/>
      <c r="CU14" s="4"/>
      <c r="CV14" s="4"/>
      <c r="CW14" s="4"/>
      <c r="CX14" s="4"/>
      <c r="CY14" s="4"/>
      <c r="CZ14" s="21"/>
      <c r="DA14" s="4"/>
      <c r="DD14" s="4"/>
      <c r="DE14" s="4"/>
      <c r="DF14" s="15"/>
      <c r="DG14" s="15"/>
      <c r="DH14" s="2"/>
      <c r="DI14" s="4"/>
      <c r="DJ14" s="4"/>
      <c r="DK14" s="4"/>
      <c r="DL14" s="4"/>
      <c r="DM14" s="4"/>
      <c r="DN14" s="4"/>
      <c r="DO14" s="4"/>
      <c r="DP14" s="4"/>
      <c r="DQ14" s="4"/>
      <c r="DR14" s="21"/>
      <c r="DS14" s="4"/>
      <c r="DW14" s="27"/>
      <c r="DX14" s="66"/>
      <c r="DY14" s="66"/>
      <c r="DZ14" s="66"/>
      <c r="EA14" s="66"/>
      <c r="EB14" s="66"/>
      <c r="EC14" s="66"/>
      <c r="ED14" s="66"/>
      <c r="EE14" s="66"/>
      <c r="EF14" s="66"/>
      <c r="EG14" s="66"/>
      <c r="EH14" s="66"/>
      <c r="EI14" s="59"/>
      <c r="EJ14" s="58"/>
      <c r="EK14" s="67"/>
      <c r="EL14" s="58"/>
      <c r="EM14" s="64"/>
      <c r="EN14" s="68"/>
      <c r="EO14" s="25"/>
      <c r="GL14" s="17"/>
    </row>
    <row r="15" spans="1:194" s="17" customFormat="1" ht="31.95" customHeight="1" thickTop="1" thickBot="1" x14ac:dyDescent="0.35">
      <c r="B15" s="16" t="s">
        <v>8</v>
      </c>
      <c r="C15" s="16"/>
      <c r="D15" s="41"/>
      <c r="J15" s="124" t="str">
        <f>IF(I11=0,"THANK YOU, YOU MAY CONTINUE","")</f>
        <v/>
      </c>
      <c r="K15" s="124"/>
      <c r="L15" s="124"/>
      <c r="M15" s="124"/>
      <c r="S15" s="18"/>
      <c r="T15" s="19" t="s">
        <v>18</v>
      </c>
      <c r="U15" s="19"/>
      <c r="V15" s="41"/>
      <c r="W15" s="18"/>
      <c r="X15" s="18"/>
      <c r="Y15" s="18"/>
      <c r="Z15" s="18"/>
      <c r="AA15" s="18"/>
      <c r="AB15" s="124" t="str">
        <f>IF(AA11=0,"THANK YOU, YOU MAY CONTINUE","")</f>
        <v/>
      </c>
      <c r="AC15" s="124"/>
      <c r="AD15" s="124"/>
      <c r="AE15" s="124"/>
      <c r="AF15" s="20"/>
      <c r="AG15" s="18"/>
      <c r="AJ15" s="18"/>
      <c r="AK15" s="18"/>
      <c r="AL15" s="19" t="s">
        <v>28</v>
      </c>
      <c r="AM15" s="19"/>
      <c r="AN15" s="41"/>
      <c r="AO15" s="18"/>
      <c r="AP15" s="18"/>
      <c r="AQ15" s="18"/>
      <c r="AR15" s="18"/>
      <c r="AS15" s="18"/>
      <c r="AT15" s="124" t="str">
        <f>IF(AS11=0,"THANK YOU, YOU MAY CONTINUE","")</f>
        <v/>
      </c>
      <c r="AU15" s="124"/>
      <c r="AV15" s="124"/>
      <c r="AW15" s="124"/>
      <c r="AX15" s="20"/>
      <c r="AY15" s="18"/>
      <c r="BB15" s="18"/>
      <c r="BC15" s="18"/>
      <c r="BD15" s="19" t="s">
        <v>38</v>
      </c>
      <c r="BE15" s="19"/>
      <c r="BF15" s="41"/>
      <c r="BG15" s="18"/>
      <c r="BH15" s="18"/>
      <c r="BI15" s="18"/>
      <c r="BJ15" s="18"/>
      <c r="BK15" s="18"/>
      <c r="BL15" s="124" t="str">
        <f>IF(BK11=0,"THANK YOU, YOU MAY CONTINUE","")</f>
        <v/>
      </c>
      <c r="BM15" s="124"/>
      <c r="BN15" s="124"/>
      <c r="BO15" s="124"/>
      <c r="BP15" s="20"/>
      <c r="BQ15" s="18"/>
      <c r="BT15" s="18"/>
      <c r="BU15" s="18"/>
      <c r="BV15" s="19" t="s">
        <v>48</v>
      </c>
      <c r="BW15" s="19"/>
      <c r="BX15" s="41"/>
      <c r="BY15" s="18"/>
      <c r="BZ15" s="18"/>
      <c r="CA15" s="18"/>
      <c r="CB15" s="18"/>
      <c r="CC15" s="18"/>
      <c r="CD15" s="124" t="str">
        <f>IF(CC11=0,"THANK YOU, YOU MAY CONTINUE","")</f>
        <v/>
      </c>
      <c r="CE15" s="124"/>
      <c r="CF15" s="124"/>
      <c r="CG15" s="124"/>
      <c r="CH15" s="20"/>
      <c r="CI15" s="18"/>
      <c r="CL15" s="18"/>
      <c r="CM15" s="18"/>
      <c r="CN15" s="19" t="s">
        <v>58</v>
      </c>
      <c r="CO15" s="19"/>
      <c r="CP15" s="41"/>
      <c r="CQ15" s="18"/>
      <c r="CR15" s="18"/>
      <c r="CS15" s="18"/>
      <c r="CT15" s="18"/>
      <c r="CU15" s="18"/>
      <c r="CV15" s="124" t="str">
        <f>IF(CU11=0,"THANK YOU, YOU MAY CONTINUE","")</f>
        <v/>
      </c>
      <c r="CW15" s="124"/>
      <c r="CX15" s="124"/>
      <c r="CY15" s="124"/>
      <c r="CZ15" s="20"/>
      <c r="DA15" s="18"/>
      <c r="DD15" s="4"/>
      <c r="DE15" s="4"/>
      <c r="DF15" s="15" t="s">
        <v>68</v>
      </c>
      <c r="DG15" s="15"/>
      <c r="DH15" s="41"/>
      <c r="DI15" s="4"/>
      <c r="DJ15" s="4"/>
      <c r="DK15" s="4"/>
      <c r="DL15" s="4"/>
      <c r="DM15" s="4"/>
      <c r="DN15" s="124" t="str">
        <f>IF(DM11=0,"THANK YOU, YOU MAY CONTINUE","")</f>
        <v/>
      </c>
      <c r="DO15" s="124"/>
      <c r="DP15" s="124"/>
      <c r="DQ15" s="124"/>
      <c r="DR15" s="21"/>
      <c r="DS15" s="4"/>
      <c r="DX15" s="56" t="s">
        <v>79</v>
      </c>
      <c r="DY15" s="56"/>
      <c r="DZ15" s="81">
        <f>CP7</f>
        <v>0</v>
      </c>
      <c r="EA15" s="81">
        <f>CP13</f>
        <v>0</v>
      </c>
      <c r="EB15" s="81">
        <f>CP17</f>
        <v>0</v>
      </c>
      <c r="EC15" s="81">
        <f>CP15</f>
        <v>0</v>
      </c>
      <c r="ED15" s="81">
        <f>CP9</f>
        <v>0</v>
      </c>
      <c r="EE15" s="81">
        <f>CP11</f>
        <v>0</v>
      </c>
      <c r="EF15" s="81">
        <f>CP21</f>
        <v>0</v>
      </c>
      <c r="EG15" s="81">
        <f>CP19</f>
        <v>0</v>
      </c>
      <c r="EH15" s="81">
        <f>CP5</f>
        <v>0</v>
      </c>
      <c r="EI15" s="59"/>
      <c r="EJ15" s="61"/>
      <c r="EK15" s="74" t="s">
        <v>87</v>
      </c>
      <c r="EL15" s="75"/>
      <c r="EM15" s="64">
        <f>EE19</f>
        <v>0</v>
      </c>
      <c r="EN15" s="65"/>
      <c r="EO15" s="26"/>
    </row>
    <row r="16" spans="1:194" ht="4.95" customHeight="1" thickTop="1" thickBot="1" x14ac:dyDescent="0.35">
      <c r="J16" s="4"/>
      <c r="K16" s="4"/>
      <c r="L16" s="4"/>
      <c r="M16" s="4"/>
      <c r="S16" s="4"/>
      <c r="T16" s="15"/>
      <c r="U16" s="15"/>
      <c r="V16" s="2"/>
      <c r="W16" s="4"/>
      <c r="X16" s="4"/>
      <c r="Y16" s="4"/>
      <c r="Z16" s="4"/>
      <c r="AA16" s="4"/>
      <c r="AB16" s="4"/>
      <c r="AC16" s="4"/>
      <c r="AD16" s="4"/>
      <c r="AE16" s="4"/>
      <c r="AF16" s="21"/>
      <c r="AG16" s="4"/>
      <c r="AJ16" s="4"/>
      <c r="AK16" s="4"/>
      <c r="AL16" s="15"/>
      <c r="AM16" s="15"/>
      <c r="AN16" s="2"/>
      <c r="AO16" s="4"/>
      <c r="AP16" s="4"/>
      <c r="AQ16" s="4"/>
      <c r="AR16" s="4"/>
      <c r="AS16" s="4"/>
      <c r="AT16" s="4"/>
      <c r="AU16" s="4"/>
      <c r="AV16" s="4"/>
      <c r="AW16" s="4"/>
      <c r="AX16" s="21"/>
      <c r="AY16" s="4"/>
      <c r="BB16" s="4"/>
      <c r="BC16" s="4"/>
      <c r="BD16" s="15"/>
      <c r="BE16" s="15"/>
      <c r="BF16" s="2"/>
      <c r="BG16" s="4"/>
      <c r="BH16" s="4"/>
      <c r="BI16" s="4"/>
      <c r="BJ16" s="4"/>
      <c r="BK16" s="4"/>
      <c r="BL16" s="4"/>
      <c r="BM16" s="4"/>
      <c r="BN16" s="4"/>
      <c r="BO16" s="4"/>
      <c r="BP16" s="21"/>
      <c r="BQ16" s="4"/>
      <c r="BT16" s="4"/>
      <c r="BU16" s="4"/>
      <c r="BV16" s="15"/>
      <c r="BW16" s="15"/>
      <c r="BX16" s="2"/>
      <c r="BY16" s="4"/>
      <c r="BZ16" s="4"/>
      <c r="CA16" s="4"/>
      <c r="CB16" s="4"/>
      <c r="CC16" s="4"/>
      <c r="CD16" s="4"/>
      <c r="CE16" s="4"/>
      <c r="CF16" s="4"/>
      <c r="CG16" s="4"/>
      <c r="CH16" s="21"/>
      <c r="CI16" s="4"/>
      <c r="CL16" s="4"/>
      <c r="CM16" s="4"/>
      <c r="CN16" s="15"/>
      <c r="CO16" s="15"/>
      <c r="CP16" s="2"/>
      <c r="CQ16" s="4"/>
      <c r="CR16" s="4"/>
      <c r="CS16" s="4"/>
      <c r="CT16" s="4"/>
      <c r="CU16" s="4"/>
      <c r="CV16" s="4"/>
      <c r="CW16" s="4"/>
      <c r="CX16" s="4"/>
      <c r="CY16" s="4"/>
      <c r="CZ16" s="21"/>
      <c r="DA16" s="4"/>
      <c r="DD16" s="4"/>
      <c r="DE16" s="4"/>
      <c r="DF16" s="15"/>
      <c r="DG16" s="15"/>
      <c r="DH16" s="2"/>
      <c r="DI16" s="4"/>
      <c r="DJ16" s="4"/>
      <c r="DK16" s="4"/>
      <c r="DL16" s="4"/>
      <c r="DM16" s="4"/>
      <c r="DN16" s="4"/>
      <c r="DO16" s="4"/>
      <c r="DP16" s="4"/>
      <c r="DQ16" s="4"/>
      <c r="DR16" s="21"/>
      <c r="DS16" s="4"/>
      <c r="DX16" s="66"/>
      <c r="DY16" s="66"/>
      <c r="DZ16" s="66"/>
      <c r="EA16" s="66"/>
      <c r="EB16" s="66"/>
      <c r="EC16" s="66"/>
      <c r="ED16" s="66"/>
      <c r="EE16" s="66"/>
      <c r="EF16" s="66"/>
      <c r="EG16" s="66"/>
      <c r="EH16" s="66"/>
      <c r="EI16" s="59"/>
      <c r="EJ16" s="58"/>
      <c r="EK16" s="67"/>
      <c r="EL16" s="58"/>
      <c r="EM16" s="64"/>
      <c r="EN16" s="68"/>
      <c r="EO16" s="25"/>
      <c r="GL16" s="17"/>
    </row>
    <row r="17" spans="2:194" s="17" customFormat="1" ht="31.95" customHeight="1" thickTop="1" thickBot="1" x14ac:dyDescent="0.35">
      <c r="B17" s="16" t="s">
        <v>9</v>
      </c>
      <c r="C17" s="16"/>
      <c r="D17" s="41"/>
      <c r="J17" s="124"/>
      <c r="K17" s="124"/>
      <c r="L17" s="124"/>
      <c r="M17" s="124"/>
      <c r="S17" s="18"/>
      <c r="T17" s="19" t="s">
        <v>19</v>
      </c>
      <c r="U17" s="19"/>
      <c r="V17" s="41"/>
      <c r="W17" s="18"/>
      <c r="X17" s="18"/>
      <c r="Y17" s="18"/>
      <c r="Z17" s="18"/>
      <c r="AA17" s="18"/>
      <c r="AB17" s="124"/>
      <c r="AC17" s="124"/>
      <c r="AD17" s="124"/>
      <c r="AE17" s="124"/>
      <c r="AF17" s="20"/>
      <c r="AG17" s="18"/>
      <c r="AJ17" s="18"/>
      <c r="AK17" s="18"/>
      <c r="AL17" s="19" t="s">
        <v>29</v>
      </c>
      <c r="AM17" s="19"/>
      <c r="AN17" s="41"/>
      <c r="AO17" s="18"/>
      <c r="AP17" s="18"/>
      <c r="AQ17" s="18"/>
      <c r="AR17" s="18"/>
      <c r="AS17" s="18"/>
      <c r="AT17" s="124"/>
      <c r="AU17" s="124"/>
      <c r="AV17" s="124"/>
      <c r="AW17" s="124"/>
      <c r="AX17" s="20"/>
      <c r="AY17" s="18"/>
      <c r="BB17" s="18"/>
      <c r="BC17" s="18"/>
      <c r="BD17" s="19" t="s">
        <v>39</v>
      </c>
      <c r="BE17" s="19"/>
      <c r="BF17" s="41"/>
      <c r="BG17" s="18"/>
      <c r="BH17" s="18"/>
      <c r="BI17" s="18"/>
      <c r="BJ17" s="18"/>
      <c r="BK17" s="18"/>
      <c r="BL17" s="124"/>
      <c r="BM17" s="124"/>
      <c r="BN17" s="124"/>
      <c r="BO17" s="124"/>
      <c r="BP17" s="20"/>
      <c r="BQ17" s="18"/>
      <c r="BT17" s="18"/>
      <c r="BU17" s="18"/>
      <c r="BV17" s="19" t="s">
        <v>49</v>
      </c>
      <c r="BW17" s="19"/>
      <c r="BX17" s="41"/>
      <c r="BY17" s="18"/>
      <c r="BZ17" s="18"/>
      <c r="CA17" s="18"/>
      <c r="CB17" s="18"/>
      <c r="CC17" s="18"/>
      <c r="CD17" s="124"/>
      <c r="CE17" s="124"/>
      <c r="CF17" s="124"/>
      <c r="CG17" s="124"/>
      <c r="CH17" s="20"/>
      <c r="CI17" s="18"/>
      <c r="CL17" s="18"/>
      <c r="CM17" s="18"/>
      <c r="CN17" s="19" t="s">
        <v>59</v>
      </c>
      <c r="CO17" s="19"/>
      <c r="CP17" s="41"/>
      <c r="CQ17" s="18"/>
      <c r="CR17" s="18"/>
      <c r="CS17" s="18"/>
      <c r="CT17" s="18"/>
      <c r="CU17" s="18"/>
      <c r="CV17" s="124"/>
      <c r="CW17" s="124"/>
      <c r="CX17" s="124"/>
      <c r="CY17" s="124"/>
      <c r="CZ17" s="20"/>
      <c r="DA17" s="18"/>
      <c r="DD17" s="4"/>
      <c r="DE17" s="4"/>
      <c r="DF17" s="15" t="s">
        <v>69</v>
      </c>
      <c r="DG17" s="15"/>
      <c r="DH17" s="41"/>
      <c r="DI17" s="4"/>
      <c r="DJ17" s="4"/>
      <c r="DK17" s="4"/>
      <c r="DL17" s="4"/>
      <c r="DM17" s="4"/>
      <c r="DR17" s="21"/>
      <c r="DS17" s="4"/>
      <c r="DX17" s="56" t="s">
        <v>80</v>
      </c>
      <c r="DY17" s="56"/>
      <c r="DZ17" s="81">
        <f>DH19</f>
        <v>0</v>
      </c>
      <c r="EA17" s="81">
        <f>DH11</f>
        <v>0</v>
      </c>
      <c r="EB17" s="81">
        <f>DH5</f>
        <v>0</v>
      </c>
      <c r="EC17" s="81">
        <f>DH21</f>
        <v>0</v>
      </c>
      <c r="ED17" s="81">
        <f>DH13</f>
        <v>0</v>
      </c>
      <c r="EE17" s="81">
        <f>DH17</f>
        <v>0</v>
      </c>
      <c r="EF17" s="81">
        <f>DH7</f>
        <v>0</v>
      </c>
      <c r="EG17" s="81">
        <f>DH15</f>
        <v>0</v>
      </c>
      <c r="EH17" s="81">
        <f>DH9</f>
        <v>0</v>
      </c>
      <c r="EI17" s="59"/>
      <c r="EJ17" s="61"/>
      <c r="EK17" s="62" t="s">
        <v>88</v>
      </c>
      <c r="EL17" s="63"/>
      <c r="EM17" s="64">
        <f>EF19</f>
        <v>0</v>
      </c>
      <c r="EN17" s="65"/>
      <c r="EO17" s="26"/>
    </row>
    <row r="18" spans="2:194" ht="4.95" customHeight="1" thickTop="1" thickBot="1" x14ac:dyDescent="0.35">
      <c r="S18" s="4"/>
      <c r="T18" s="15"/>
      <c r="U18" s="15"/>
      <c r="V18" s="2"/>
      <c r="W18" s="4"/>
      <c r="X18" s="4"/>
      <c r="Y18" s="4"/>
      <c r="Z18" s="4"/>
      <c r="AA18" s="4"/>
      <c r="AB18" s="4"/>
      <c r="AC18" s="4"/>
      <c r="AD18" s="4"/>
      <c r="AE18" s="4"/>
      <c r="AF18" s="4"/>
      <c r="AG18" s="4"/>
      <c r="AJ18" s="4"/>
      <c r="AK18" s="4"/>
      <c r="AL18" s="15"/>
      <c r="AM18" s="15"/>
      <c r="AN18" s="2"/>
      <c r="AO18" s="4"/>
      <c r="AP18" s="4"/>
      <c r="AQ18" s="4"/>
      <c r="AR18" s="4"/>
      <c r="AS18" s="4"/>
      <c r="AT18" s="4"/>
      <c r="AU18" s="4"/>
      <c r="AV18" s="4"/>
      <c r="AW18" s="4"/>
      <c r="AX18" s="4"/>
      <c r="AY18" s="4"/>
      <c r="BB18" s="4"/>
      <c r="BC18" s="4"/>
      <c r="BD18" s="15"/>
      <c r="BE18" s="15"/>
      <c r="BF18" s="2"/>
      <c r="BG18" s="4"/>
      <c r="BH18" s="4"/>
      <c r="BI18" s="4"/>
      <c r="BJ18" s="4"/>
      <c r="BK18" s="4"/>
      <c r="BL18" s="4"/>
      <c r="BM18" s="4"/>
      <c r="BN18" s="4"/>
      <c r="BO18" s="4"/>
      <c r="BP18" s="4"/>
      <c r="BQ18" s="4"/>
      <c r="BT18" s="4"/>
      <c r="BU18" s="4"/>
      <c r="BV18" s="15"/>
      <c r="BW18" s="15"/>
      <c r="BX18" s="2"/>
      <c r="BY18" s="4"/>
      <c r="BZ18" s="4"/>
      <c r="CA18" s="4"/>
      <c r="CB18" s="4"/>
      <c r="CC18" s="4"/>
      <c r="CD18" s="4"/>
      <c r="CE18" s="4"/>
      <c r="CF18" s="4"/>
      <c r="CG18" s="4"/>
      <c r="CH18" s="4"/>
      <c r="CI18" s="4"/>
      <c r="CL18" s="4"/>
      <c r="CM18" s="4"/>
      <c r="CN18" s="15"/>
      <c r="CO18" s="15"/>
      <c r="CP18" s="2"/>
      <c r="CQ18" s="4"/>
      <c r="CR18" s="4"/>
      <c r="CS18" s="4"/>
      <c r="CT18" s="4"/>
      <c r="CU18" s="4"/>
      <c r="CV18" s="4"/>
      <c r="CW18" s="4"/>
      <c r="CX18" s="4"/>
      <c r="CY18" s="4"/>
      <c r="CZ18" s="4"/>
      <c r="DA18" s="4"/>
      <c r="DD18" s="4"/>
      <c r="DE18" s="4"/>
      <c r="DF18" s="15"/>
      <c r="DG18" s="15"/>
      <c r="DH18" s="2"/>
      <c r="DI18" s="4"/>
      <c r="DJ18" s="4"/>
      <c r="DK18" s="4"/>
      <c r="DL18" s="4"/>
      <c r="DM18" s="4"/>
      <c r="DN18" s="4"/>
      <c r="DO18" s="4"/>
      <c r="DP18" s="4"/>
      <c r="DQ18" s="4"/>
      <c r="DR18" s="4"/>
      <c r="DS18" s="4"/>
      <c r="DX18" s="66"/>
      <c r="DY18" s="56"/>
      <c r="DZ18" s="66"/>
      <c r="EA18" s="66"/>
      <c r="EB18" s="66"/>
      <c r="EC18" s="66"/>
      <c r="ED18" s="66"/>
      <c r="EE18" s="66"/>
      <c r="EF18" s="66"/>
      <c r="EG18" s="66"/>
      <c r="EH18" s="66"/>
      <c r="EI18" s="59"/>
      <c r="EJ18" s="58"/>
      <c r="EK18" s="67"/>
      <c r="EL18" s="58"/>
      <c r="EM18" s="64"/>
      <c r="EN18" s="68"/>
      <c r="EO18" s="25"/>
      <c r="GL18" s="17"/>
    </row>
    <row r="19" spans="2:194" s="17" customFormat="1" ht="31.95" customHeight="1" thickTop="1" thickBot="1" x14ac:dyDescent="0.35">
      <c r="B19" s="16" t="s">
        <v>10</v>
      </c>
      <c r="C19" s="16"/>
      <c r="D19" s="41"/>
      <c r="S19" s="18"/>
      <c r="T19" s="19" t="s">
        <v>20</v>
      </c>
      <c r="U19" s="19"/>
      <c r="V19" s="41"/>
      <c r="W19" s="18"/>
      <c r="X19" s="18"/>
      <c r="Y19" s="18"/>
      <c r="Z19" s="18"/>
      <c r="AA19" s="18"/>
      <c r="AB19" s="18"/>
      <c r="AC19" s="18"/>
      <c r="AD19" s="18"/>
      <c r="AE19" s="18"/>
      <c r="AF19" s="18"/>
      <c r="AG19" s="18"/>
      <c r="AJ19" s="18"/>
      <c r="AK19" s="18"/>
      <c r="AL19" s="19" t="s">
        <v>30</v>
      </c>
      <c r="AM19" s="19"/>
      <c r="AN19" s="41"/>
      <c r="AO19" s="18"/>
      <c r="AP19" s="18"/>
      <c r="AQ19" s="18"/>
      <c r="AR19" s="18"/>
      <c r="AS19" s="18"/>
      <c r="AT19" s="18"/>
      <c r="AU19" s="18"/>
      <c r="AV19" s="18"/>
      <c r="AW19" s="18"/>
      <c r="AX19" s="18"/>
      <c r="AY19" s="18"/>
      <c r="BB19" s="18"/>
      <c r="BC19" s="18"/>
      <c r="BD19" s="19" t="s">
        <v>40</v>
      </c>
      <c r="BE19" s="19"/>
      <c r="BF19" s="41"/>
      <c r="BG19" s="18"/>
      <c r="BH19" s="18"/>
      <c r="BI19" s="18"/>
      <c r="BJ19" s="18"/>
      <c r="BK19" s="18"/>
      <c r="BL19" s="18"/>
      <c r="BM19" s="18"/>
      <c r="BN19" s="18"/>
      <c r="BO19" s="18"/>
      <c r="BP19" s="18"/>
      <c r="BQ19" s="18"/>
      <c r="BT19" s="18"/>
      <c r="BU19" s="18"/>
      <c r="BV19" s="19" t="s">
        <v>50</v>
      </c>
      <c r="BW19" s="19"/>
      <c r="BX19" s="41"/>
      <c r="BY19" s="18"/>
      <c r="BZ19" s="18"/>
      <c r="CA19" s="18"/>
      <c r="CB19" s="18"/>
      <c r="CC19" s="18"/>
      <c r="CD19" s="18"/>
      <c r="CE19" s="18"/>
      <c r="CF19" s="18"/>
      <c r="CG19" s="18"/>
      <c r="CH19" s="18"/>
      <c r="CI19" s="18"/>
      <c r="CL19" s="18"/>
      <c r="CM19" s="18"/>
      <c r="CN19" s="19" t="s">
        <v>60</v>
      </c>
      <c r="CO19" s="19"/>
      <c r="CP19" s="41"/>
      <c r="CQ19" s="18"/>
      <c r="CR19" s="18"/>
      <c r="CS19" s="18"/>
      <c r="CT19" s="18"/>
      <c r="CU19" s="18"/>
      <c r="CV19" s="18"/>
      <c r="CW19" s="18"/>
      <c r="CX19" s="18"/>
      <c r="CY19" s="18"/>
      <c r="CZ19" s="18"/>
      <c r="DA19" s="18"/>
      <c r="DD19" s="4"/>
      <c r="DE19" s="4"/>
      <c r="DF19" s="15" t="s">
        <v>70</v>
      </c>
      <c r="DG19" s="15"/>
      <c r="DH19" s="41"/>
      <c r="DI19" s="4"/>
      <c r="DJ19" s="4"/>
      <c r="DK19" s="4"/>
      <c r="DL19" s="4"/>
      <c r="DM19" s="4"/>
      <c r="DN19" s="4"/>
      <c r="DO19" s="4"/>
      <c r="DP19" s="4"/>
      <c r="DQ19" s="4"/>
      <c r="DR19" s="4"/>
      <c r="DS19" s="4"/>
      <c r="DX19" s="76" t="s">
        <v>73</v>
      </c>
      <c r="DY19" s="77"/>
      <c r="DZ19" s="78">
        <f t="shared" ref="DZ19:EH19" si="0">SUM(DZ5:DZ17)</f>
        <v>0</v>
      </c>
      <c r="EA19" s="78">
        <f t="shared" si="0"/>
        <v>0</v>
      </c>
      <c r="EB19" s="78">
        <f t="shared" si="0"/>
        <v>0</v>
      </c>
      <c r="EC19" s="78">
        <f t="shared" si="0"/>
        <v>0</v>
      </c>
      <c r="ED19" s="78">
        <f t="shared" si="0"/>
        <v>0</v>
      </c>
      <c r="EE19" s="78">
        <f t="shared" si="0"/>
        <v>0</v>
      </c>
      <c r="EF19" s="78">
        <f t="shared" si="0"/>
        <v>0</v>
      </c>
      <c r="EG19" s="78">
        <f t="shared" si="0"/>
        <v>0</v>
      </c>
      <c r="EH19" s="79">
        <f t="shared" si="0"/>
        <v>0</v>
      </c>
      <c r="EI19" s="69" t="str">
        <f>IF(SUM(DZ19:EH19)=70,"OK","Checksum NOK")</f>
        <v>Checksum NOK</v>
      </c>
      <c r="EJ19" s="61"/>
      <c r="EK19" s="74" t="s">
        <v>89</v>
      </c>
      <c r="EL19" s="75"/>
      <c r="EM19" s="64">
        <f>EG19</f>
        <v>0</v>
      </c>
      <c r="EN19" s="65"/>
      <c r="EO19" s="26"/>
    </row>
    <row r="20" spans="2:194" ht="4.95" customHeight="1" thickTop="1" thickBot="1" x14ac:dyDescent="0.35">
      <c r="S20" s="4"/>
      <c r="T20" s="15"/>
      <c r="U20" s="15"/>
      <c r="V20" s="2"/>
      <c r="W20" s="4"/>
      <c r="X20" s="4"/>
      <c r="Y20" s="4"/>
      <c r="Z20" s="4"/>
      <c r="AA20" s="4"/>
      <c r="AB20" s="4"/>
      <c r="AC20" s="4"/>
      <c r="AD20" s="4"/>
      <c r="AE20" s="4"/>
      <c r="AF20" s="4"/>
      <c r="AG20" s="4"/>
      <c r="AJ20" s="4"/>
      <c r="AK20" s="4"/>
      <c r="AL20" s="15"/>
      <c r="AM20" s="15"/>
      <c r="AN20" s="2"/>
      <c r="AO20" s="4"/>
      <c r="AP20" s="4"/>
      <c r="AQ20" s="4"/>
      <c r="AR20" s="4"/>
      <c r="AS20" s="4"/>
      <c r="AT20" s="4"/>
      <c r="AU20" s="4"/>
      <c r="AV20" s="4"/>
      <c r="AW20" s="4"/>
      <c r="AX20" s="4"/>
      <c r="AY20" s="4"/>
      <c r="BB20" s="4"/>
      <c r="BC20" s="4"/>
      <c r="BD20" s="15"/>
      <c r="BE20" s="15"/>
      <c r="BF20" s="2"/>
      <c r="BG20" s="4"/>
      <c r="BH20" s="4"/>
      <c r="BI20" s="4"/>
      <c r="BJ20" s="4"/>
      <c r="BK20" s="4"/>
      <c r="BL20" s="4"/>
      <c r="BM20" s="4"/>
      <c r="BN20" s="4"/>
      <c r="BO20" s="4"/>
      <c r="BP20" s="4"/>
      <c r="BQ20" s="4"/>
      <c r="BT20" s="4"/>
      <c r="BU20" s="4"/>
      <c r="BV20" s="15"/>
      <c r="BW20" s="15"/>
      <c r="BX20" s="2"/>
      <c r="BY20" s="4"/>
      <c r="BZ20" s="4"/>
      <c r="CA20" s="4"/>
      <c r="CB20" s="4"/>
      <c r="CC20" s="4"/>
      <c r="CD20" s="4"/>
      <c r="CE20" s="4"/>
      <c r="CF20" s="4"/>
      <c r="CG20" s="4"/>
      <c r="CH20" s="4"/>
      <c r="CI20" s="4"/>
      <c r="CL20" s="4"/>
      <c r="CM20" s="4"/>
      <c r="CN20" s="15"/>
      <c r="CO20" s="15"/>
      <c r="CP20" s="2"/>
      <c r="CQ20" s="4"/>
      <c r="CR20" s="4"/>
      <c r="CS20" s="4"/>
      <c r="CT20" s="4"/>
      <c r="CU20" s="4"/>
      <c r="CV20" s="4"/>
      <c r="CW20" s="4"/>
      <c r="CX20" s="4"/>
      <c r="CY20" s="4"/>
      <c r="CZ20" s="4"/>
      <c r="DA20" s="4"/>
      <c r="DD20" s="4"/>
      <c r="DE20" s="4"/>
      <c r="DF20" s="15"/>
      <c r="DG20" s="15"/>
      <c r="DH20" s="2"/>
      <c r="DI20" s="4"/>
      <c r="DJ20" s="4"/>
      <c r="DK20" s="4"/>
      <c r="DL20" s="4"/>
      <c r="DM20" s="4"/>
      <c r="DN20" s="4"/>
      <c r="DO20" s="4"/>
      <c r="DP20" s="4"/>
      <c r="DQ20" s="4"/>
      <c r="DR20" s="4"/>
      <c r="DS20" s="4"/>
      <c r="DX20" s="58"/>
      <c r="DY20" s="58"/>
      <c r="DZ20" s="58"/>
      <c r="EA20" s="58"/>
      <c r="EB20" s="70"/>
      <c r="EC20" s="70"/>
      <c r="ED20" s="70"/>
      <c r="EE20" s="70"/>
      <c r="EF20" s="70"/>
      <c r="EG20" s="70"/>
      <c r="EH20" s="70"/>
      <c r="EI20" s="59"/>
      <c r="EJ20" s="58"/>
      <c r="EK20" s="67"/>
      <c r="EL20" s="58"/>
      <c r="EM20" s="64"/>
      <c r="EN20" s="68"/>
      <c r="EO20" s="25"/>
      <c r="GL20" s="17"/>
    </row>
    <row r="21" spans="2:194" s="17" customFormat="1" ht="31.95" customHeight="1" thickTop="1" thickBot="1" x14ac:dyDescent="0.35">
      <c r="B21" s="16" t="s">
        <v>11</v>
      </c>
      <c r="C21" s="16"/>
      <c r="D21" s="41"/>
      <c r="S21" s="18"/>
      <c r="T21" s="19" t="s">
        <v>21</v>
      </c>
      <c r="U21" s="19"/>
      <c r="V21" s="41"/>
      <c r="W21" s="18"/>
      <c r="X21" s="18"/>
      <c r="Y21" s="18"/>
      <c r="Z21" s="18"/>
      <c r="AA21" s="18"/>
      <c r="AB21" s="18"/>
      <c r="AC21" s="18"/>
      <c r="AD21" s="18"/>
      <c r="AE21" s="18"/>
      <c r="AF21" s="18"/>
      <c r="AG21" s="18"/>
      <c r="AJ21" s="18"/>
      <c r="AK21" s="18"/>
      <c r="AL21" s="19" t="s">
        <v>31</v>
      </c>
      <c r="AM21" s="19"/>
      <c r="AN21" s="41"/>
      <c r="AO21" s="18"/>
      <c r="AP21" s="18"/>
      <c r="AQ21" s="18"/>
      <c r="AR21" s="18"/>
      <c r="AS21" s="18"/>
      <c r="AT21" s="18"/>
      <c r="AU21" s="18"/>
      <c r="AV21" s="18"/>
      <c r="AW21" s="18"/>
      <c r="AX21" s="18"/>
      <c r="AY21" s="18"/>
      <c r="BB21" s="18"/>
      <c r="BC21" s="18"/>
      <c r="BD21" s="19" t="s">
        <v>41</v>
      </c>
      <c r="BE21" s="19"/>
      <c r="BF21" s="41"/>
      <c r="BG21" s="18"/>
      <c r="BH21" s="18"/>
      <c r="BI21" s="18"/>
      <c r="BJ21" s="18"/>
      <c r="BK21" s="18"/>
      <c r="BL21" s="18"/>
      <c r="BM21" s="18"/>
      <c r="BN21" s="18"/>
      <c r="BO21" s="18"/>
      <c r="BP21" s="18"/>
      <c r="BQ21" s="18"/>
      <c r="BT21" s="18"/>
      <c r="BU21" s="18"/>
      <c r="BV21" s="19" t="s">
        <v>51</v>
      </c>
      <c r="BW21" s="19"/>
      <c r="BX21" s="41"/>
      <c r="BY21" s="18"/>
      <c r="BZ21" s="18"/>
      <c r="CA21" s="18"/>
      <c r="CB21" s="18"/>
      <c r="CC21" s="18"/>
      <c r="CD21" s="18"/>
      <c r="CE21" s="18"/>
      <c r="CF21" s="18"/>
      <c r="CG21" s="18"/>
      <c r="CH21" s="18"/>
      <c r="CI21" s="18"/>
      <c r="CL21" s="18"/>
      <c r="CM21" s="18"/>
      <c r="CN21" s="19" t="s">
        <v>61</v>
      </c>
      <c r="CO21" s="19"/>
      <c r="CP21" s="41"/>
      <c r="CQ21" s="18"/>
      <c r="CR21" s="18"/>
      <c r="CS21" s="18"/>
      <c r="CT21" s="18"/>
      <c r="CU21" s="18"/>
      <c r="CV21" s="18"/>
      <c r="CW21" s="18"/>
      <c r="CX21" s="18"/>
      <c r="CY21" s="18"/>
      <c r="CZ21" s="18"/>
      <c r="DA21" s="18"/>
      <c r="DD21" s="4"/>
      <c r="DE21" s="4"/>
      <c r="DF21" s="15" t="s">
        <v>71</v>
      </c>
      <c r="DG21" s="15"/>
      <c r="DH21" s="41"/>
      <c r="DI21" s="4"/>
      <c r="DJ21" s="4"/>
      <c r="DK21" s="4"/>
      <c r="DL21" s="4"/>
      <c r="DM21" s="4"/>
      <c r="DN21" s="4"/>
      <c r="DO21" s="4"/>
      <c r="DP21" s="4"/>
      <c r="DQ21" s="4"/>
      <c r="DR21" s="4"/>
      <c r="DS21" s="4"/>
      <c r="DX21" s="56" t="s">
        <v>91</v>
      </c>
      <c r="DY21" s="55"/>
      <c r="DZ21" s="55"/>
      <c r="EA21" s="55"/>
      <c r="EB21" s="70"/>
      <c r="EC21" s="70"/>
      <c r="ED21" s="70"/>
      <c r="EE21" s="70"/>
      <c r="EF21" s="70"/>
      <c r="EG21" s="70"/>
      <c r="EH21" s="70"/>
      <c r="EI21" s="59"/>
      <c r="EJ21" s="61"/>
      <c r="EK21" s="62" t="s">
        <v>90</v>
      </c>
      <c r="EL21" s="63"/>
      <c r="EM21" s="64">
        <f>EH19</f>
        <v>0</v>
      </c>
      <c r="EN21" s="65"/>
      <c r="EO21" s="26"/>
    </row>
    <row r="22" spans="2:194" ht="4.95" customHeight="1" thickTop="1" x14ac:dyDescent="0.3">
      <c r="D22" s="42"/>
      <c r="V22" s="42"/>
      <c r="AJ22" s="4"/>
      <c r="AK22" s="4"/>
      <c r="AL22" s="5"/>
      <c r="AM22" s="5"/>
      <c r="AN22" s="42"/>
      <c r="AO22" s="4"/>
      <c r="AP22" s="4"/>
      <c r="AQ22" s="4"/>
      <c r="AR22" s="4"/>
      <c r="AS22" s="4"/>
      <c r="AT22" s="4"/>
      <c r="AU22" s="4"/>
      <c r="AV22" s="4"/>
      <c r="AW22" s="4"/>
      <c r="AX22" s="4"/>
      <c r="AY22" s="4"/>
      <c r="BB22" s="4"/>
      <c r="BC22" s="4"/>
      <c r="BD22" s="5"/>
      <c r="BE22" s="5"/>
      <c r="BF22" s="42"/>
      <c r="BG22" s="4"/>
      <c r="BH22" s="4"/>
      <c r="BI22" s="4"/>
      <c r="BJ22" s="4"/>
      <c r="BK22" s="4"/>
      <c r="BL22" s="4"/>
      <c r="BM22" s="4"/>
      <c r="BN22" s="4"/>
      <c r="BO22" s="4"/>
      <c r="BP22" s="4"/>
      <c r="BQ22" s="4"/>
      <c r="BT22" s="4"/>
      <c r="BU22" s="4"/>
      <c r="BV22" s="5"/>
      <c r="BW22" s="5"/>
      <c r="BX22" s="42"/>
      <c r="BY22" s="4"/>
      <c r="BZ22" s="4"/>
      <c r="CA22" s="4"/>
      <c r="CB22" s="4"/>
      <c r="CC22" s="4"/>
      <c r="CD22" s="4"/>
      <c r="CE22" s="4"/>
      <c r="CF22" s="4"/>
      <c r="CG22" s="4"/>
      <c r="CH22" s="4"/>
      <c r="CI22" s="4"/>
      <c r="CL22" s="4"/>
      <c r="CM22" s="4"/>
      <c r="CN22" s="15"/>
      <c r="CO22" s="15"/>
      <c r="CP22" s="42"/>
      <c r="CQ22" s="4"/>
      <c r="CR22" s="4"/>
      <c r="CS22" s="4"/>
      <c r="CT22" s="4"/>
      <c r="CU22" s="4"/>
      <c r="CV22" s="4"/>
      <c r="CW22" s="4"/>
      <c r="CX22" s="4"/>
      <c r="CY22" s="4"/>
      <c r="CZ22" s="4"/>
      <c r="DA22" s="4"/>
      <c r="DD22" s="4"/>
      <c r="DE22" s="4"/>
      <c r="DF22" s="5"/>
      <c r="DG22" s="5"/>
      <c r="DH22" s="42"/>
      <c r="DI22" s="4"/>
      <c r="DJ22" s="4"/>
      <c r="DK22" s="4"/>
      <c r="DL22" s="4"/>
      <c r="DM22" s="4"/>
      <c r="DN22" s="4"/>
      <c r="DO22" s="4"/>
      <c r="DP22" s="4"/>
      <c r="DQ22" s="4"/>
      <c r="DR22" s="4"/>
      <c r="DS22" s="4"/>
      <c r="DX22" s="58"/>
      <c r="DY22" s="58"/>
      <c r="DZ22" s="58"/>
      <c r="EA22" s="70"/>
      <c r="EB22" s="70"/>
      <c r="EC22" s="70"/>
      <c r="ED22" s="70"/>
      <c r="EE22" s="70"/>
      <c r="EF22" s="70"/>
      <c r="EG22" s="70"/>
      <c r="EH22" s="70"/>
      <c r="EI22" s="59"/>
      <c r="EJ22" s="55"/>
      <c r="EK22" s="55"/>
      <c r="EL22" s="55"/>
      <c r="EM22" s="55"/>
      <c r="EN22" s="55"/>
      <c r="GL22" s="17"/>
    </row>
    <row r="23" spans="2:194" ht="12.75" customHeight="1" x14ac:dyDescent="0.3">
      <c r="F23" s="122"/>
      <c r="G23" s="122"/>
      <c r="H23" s="122"/>
      <c r="I23" s="122"/>
      <c r="J23" s="122"/>
      <c r="K23" s="122"/>
      <c r="L23" s="122"/>
      <c r="M23" s="122"/>
      <c r="N23" s="122"/>
      <c r="DX23" s="58"/>
      <c r="DY23" s="58"/>
      <c r="DZ23" s="58"/>
      <c r="EA23" s="71"/>
      <c r="EB23" s="70"/>
      <c r="EC23" s="70"/>
      <c r="ED23" s="70"/>
      <c r="EE23" s="70"/>
      <c r="EF23" s="70"/>
      <c r="EG23" s="70"/>
      <c r="EH23" s="70"/>
      <c r="EI23" s="59"/>
      <c r="EJ23" s="58"/>
      <c r="EK23" s="58"/>
      <c r="EL23" s="58"/>
      <c r="EM23" s="58"/>
      <c r="EN23" s="58"/>
      <c r="GL23" s="17"/>
    </row>
    <row r="24" spans="2:194" s="17" customFormat="1" ht="19.95" customHeight="1" x14ac:dyDescent="0.3">
      <c r="B24" s="16"/>
      <c r="C24" s="16"/>
      <c r="D24" s="2"/>
      <c r="F24" s="122"/>
      <c r="G24" s="122"/>
      <c r="H24" s="122"/>
      <c r="I24" s="122"/>
      <c r="J24" s="122"/>
      <c r="K24" s="122"/>
      <c r="L24" s="122"/>
      <c r="M24" s="122"/>
      <c r="N24" s="122"/>
      <c r="DX24" s="55"/>
      <c r="DY24" s="55"/>
      <c r="DZ24" s="55"/>
      <c r="EA24" s="55"/>
      <c r="EB24" s="72"/>
      <c r="EC24" s="72"/>
      <c r="ED24" s="72"/>
      <c r="EE24" s="72"/>
      <c r="EF24" s="72"/>
      <c r="EG24" s="72"/>
      <c r="EH24" s="72"/>
      <c r="EI24" s="62"/>
      <c r="EJ24" s="55"/>
      <c r="EK24" s="55"/>
      <c r="EL24" s="55"/>
      <c r="EM24" s="55"/>
      <c r="EN24" s="55"/>
    </row>
    <row r="25" spans="2:194" s="17" customFormat="1" ht="19.95" customHeight="1" x14ac:dyDescent="0.3">
      <c r="B25" s="16"/>
      <c r="C25" s="16"/>
      <c r="D25" s="2"/>
      <c r="F25" s="122"/>
      <c r="G25" s="122"/>
      <c r="H25" s="122"/>
      <c r="I25" s="122"/>
      <c r="J25" s="122"/>
      <c r="K25" s="122"/>
      <c r="L25" s="122"/>
      <c r="M25" s="122"/>
      <c r="N25" s="122"/>
      <c r="DX25" s="55"/>
      <c r="DY25" s="55"/>
      <c r="DZ25" s="55"/>
      <c r="EA25" s="55"/>
      <c r="EB25" s="72"/>
      <c r="EC25" s="72"/>
      <c r="ED25" s="72"/>
      <c r="EE25" s="72"/>
      <c r="EF25" s="72"/>
      <c r="EG25" s="72"/>
      <c r="EH25" s="72"/>
      <c r="EI25" s="62"/>
      <c r="EJ25" s="55"/>
      <c r="EK25" s="55"/>
      <c r="EL25" s="55"/>
      <c r="EM25" s="55"/>
      <c r="EN25" s="55"/>
    </row>
    <row r="26" spans="2:194" s="17" customFormat="1" ht="19.95" customHeight="1" x14ac:dyDescent="0.3">
      <c r="B26" s="16"/>
      <c r="C26" s="16"/>
      <c r="D26" s="2"/>
      <c r="DX26" s="55"/>
      <c r="DY26" s="55"/>
      <c r="DZ26" s="55"/>
      <c r="EA26" s="55"/>
      <c r="EB26" s="55"/>
      <c r="EC26" s="55"/>
      <c r="ED26" s="55"/>
      <c r="EE26" s="55"/>
      <c r="EF26" s="55"/>
      <c r="EG26" s="55"/>
      <c r="EH26" s="55"/>
      <c r="EI26" s="55"/>
      <c r="EJ26" s="55"/>
      <c r="EK26" s="55"/>
      <c r="EL26" s="55"/>
      <c r="EM26" s="55"/>
      <c r="EN26" s="55"/>
    </row>
    <row r="27" spans="2:194" s="17" customFormat="1" ht="19.95" customHeight="1" x14ac:dyDescent="0.3">
      <c r="B27" s="16"/>
      <c r="C27" s="16"/>
      <c r="D27" s="2"/>
      <c r="DX27" s="55"/>
      <c r="DY27" s="55"/>
      <c r="DZ27" s="55"/>
      <c r="EA27" s="55"/>
      <c r="EB27" s="55"/>
      <c r="EC27" s="55"/>
      <c r="ED27" s="55"/>
      <c r="EE27" s="55"/>
      <c r="EF27" s="55"/>
      <c r="EG27" s="55"/>
      <c r="EH27" s="55"/>
      <c r="EI27" s="55"/>
      <c r="EJ27" s="55"/>
      <c r="EK27" s="55"/>
      <c r="EL27" s="55"/>
      <c r="EM27" s="55"/>
      <c r="EN27" s="55"/>
    </row>
    <row r="28" spans="2:194" s="17" customFormat="1" ht="19.95" customHeight="1" x14ac:dyDescent="0.3">
      <c r="B28" s="16"/>
      <c r="C28" s="16"/>
      <c r="D28" s="2"/>
      <c r="DX28" s="55"/>
      <c r="DY28" s="55"/>
      <c r="DZ28" s="55"/>
      <c r="EA28" s="55"/>
      <c r="EB28" s="55"/>
      <c r="EC28" s="55"/>
      <c r="ED28" s="55"/>
      <c r="EE28" s="55"/>
      <c r="EF28" s="55"/>
      <c r="EG28" s="55"/>
      <c r="EH28" s="55"/>
      <c r="EI28" s="55"/>
      <c r="EJ28" s="55"/>
      <c r="EK28" s="55"/>
      <c r="EL28" s="55"/>
      <c r="EM28" s="55"/>
      <c r="EN28" s="55"/>
    </row>
    <row r="29" spans="2:194" s="17" customFormat="1" ht="19.95" customHeight="1" x14ac:dyDescent="0.3">
      <c r="B29" s="16"/>
      <c r="C29" s="16"/>
      <c r="D29" s="2"/>
      <c r="P29" s="18"/>
      <c r="Q29" s="18"/>
      <c r="R29" s="18"/>
      <c r="S29" s="18"/>
      <c r="DX29" s="55"/>
      <c r="DY29" s="55"/>
      <c r="DZ29" s="55"/>
      <c r="EA29" s="55"/>
      <c r="EB29" s="55"/>
      <c r="EC29" s="55"/>
      <c r="ED29" s="55"/>
      <c r="EE29" s="55"/>
      <c r="EF29" s="55"/>
      <c r="EG29" s="55"/>
      <c r="EH29" s="55"/>
      <c r="EI29" s="55"/>
      <c r="EJ29" s="55"/>
      <c r="EK29" s="55"/>
      <c r="EL29" s="55"/>
      <c r="EM29" s="55"/>
      <c r="EN29" s="55"/>
    </row>
    <row r="30" spans="2:194" s="17" customFormat="1" ht="19.95" customHeight="1" x14ac:dyDescent="0.3">
      <c r="B30" s="16"/>
      <c r="C30" s="16"/>
      <c r="D30" s="2"/>
      <c r="P30" s="10"/>
      <c r="Q30" s="10"/>
      <c r="R30" s="10"/>
      <c r="S30" s="10"/>
      <c r="DX30" s="55"/>
      <c r="DY30" s="55"/>
      <c r="DZ30" s="55"/>
      <c r="EA30" s="55"/>
      <c r="EB30" s="55"/>
      <c r="EC30" s="55"/>
      <c r="ED30" s="55"/>
      <c r="EE30" s="55"/>
      <c r="EF30" s="55"/>
      <c r="EG30" s="55"/>
      <c r="EH30" s="55"/>
      <c r="EI30" s="55"/>
      <c r="EJ30" s="55"/>
      <c r="EK30" s="55"/>
      <c r="EL30" s="55"/>
      <c r="EM30" s="55"/>
      <c r="EN30" s="55"/>
    </row>
    <row r="31" spans="2:194" s="17" customFormat="1" ht="19.95" customHeight="1" x14ac:dyDescent="0.3">
      <c r="B31" s="16"/>
      <c r="C31" s="16"/>
      <c r="D31" s="2"/>
      <c r="P31" s="18"/>
      <c r="Q31" s="18"/>
      <c r="R31" s="18"/>
      <c r="S31" s="18"/>
      <c r="DX31" s="55"/>
      <c r="DY31" s="55"/>
      <c r="DZ31" s="55"/>
      <c r="EA31" s="55"/>
      <c r="EB31" s="55"/>
      <c r="EC31" s="55"/>
      <c r="ED31" s="55"/>
      <c r="EE31" s="55"/>
      <c r="EF31" s="55"/>
      <c r="EG31" s="55"/>
      <c r="EH31" s="55"/>
      <c r="EI31" s="55"/>
      <c r="EJ31" s="55"/>
      <c r="EK31" s="55"/>
      <c r="EL31" s="55"/>
      <c r="EM31" s="55"/>
      <c r="EN31" s="55"/>
    </row>
    <row r="32" spans="2:194" s="17" customFormat="1" ht="19.95" customHeight="1" x14ac:dyDescent="0.3">
      <c r="B32" s="16"/>
      <c r="C32" s="16"/>
      <c r="D32" s="2"/>
      <c r="P32" s="18"/>
      <c r="Q32" s="18"/>
      <c r="R32" s="18"/>
      <c r="S32" s="18"/>
      <c r="DX32" s="55"/>
      <c r="DY32" s="55"/>
      <c r="DZ32" s="55"/>
      <c r="EA32" s="55"/>
      <c r="EB32" s="55"/>
      <c r="EC32" s="55"/>
      <c r="ED32" s="55"/>
      <c r="EE32" s="55"/>
      <c r="EF32" s="55"/>
      <c r="EG32" s="55"/>
      <c r="EH32" s="55"/>
      <c r="EI32" s="55"/>
      <c r="EJ32" s="55"/>
      <c r="EK32" s="55"/>
      <c r="EL32" s="55"/>
      <c r="EM32" s="55"/>
      <c r="EN32" s="55"/>
    </row>
    <row r="33" spans="16:144" x14ac:dyDescent="0.3">
      <c r="P33" s="4"/>
      <c r="Q33" s="4"/>
      <c r="R33" s="4"/>
      <c r="S33" s="4"/>
      <c r="DX33" s="58"/>
      <c r="DY33" s="58"/>
      <c r="DZ33" s="58"/>
      <c r="EA33" s="73"/>
      <c r="EB33" s="58"/>
      <c r="EC33" s="58"/>
      <c r="ED33" s="58"/>
      <c r="EE33" s="58"/>
      <c r="EF33" s="58"/>
      <c r="EG33" s="58"/>
      <c r="EH33" s="58"/>
      <c r="EI33" s="58"/>
      <c r="EJ33" s="58"/>
      <c r="EK33" s="58"/>
      <c r="EL33" s="58"/>
      <c r="EM33" s="58"/>
      <c r="EN33" s="58"/>
    </row>
    <row r="34" spans="16:144" x14ac:dyDescent="0.3">
      <c r="P34" s="4"/>
      <c r="Q34" s="4"/>
      <c r="R34" s="4"/>
      <c r="S34" s="4"/>
      <c r="DX34" s="58"/>
      <c r="DY34" s="58"/>
      <c r="DZ34" s="58"/>
      <c r="EA34" s="58"/>
      <c r="EB34" s="58"/>
      <c r="EC34" s="58"/>
      <c r="ED34" s="58"/>
      <c r="EE34" s="58"/>
      <c r="EF34" s="58"/>
      <c r="EG34" s="58"/>
      <c r="EH34" s="58"/>
      <c r="EI34" s="58"/>
      <c r="EJ34" s="58"/>
      <c r="EK34" s="58"/>
      <c r="EL34" s="58"/>
      <c r="EM34" s="58"/>
      <c r="EN34" s="58"/>
    </row>
    <row r="35" spans="16:144" x14ac:dyDescent="0.3">
      <c r="P35" s="4"/>
      <c r="Q35" s="4"/>
      <c r="R35" s="4"/>
      <c r="S35" s="4"/>
      <c r="DX35" s="58"/>
      <c r="DY35" s="58"/>
      <c r="DZ35" s="58"/>
      <c r="EA35" s="58"/>
      <c r="EB35" s="58"/>
      <c r="EC35" s="58"/>
      <c r="ED35" s="58"/>
      <c r="EE35" s="58"/>
      <c r="EF35" s="58"/>
      <c r="EG35" s="58"/>
      <c r="EH35" s="58"/>
      <c r="EI35" s="58"/>
      <c r="EJ35" s="58"/>
      <c r="EK35" s="58"/>
      <c r="EL35" s="58"/>
      <c r="EM35" s="58"/>
      <c r="EN35" s="58"/>
    </row>
    <row r="36" spans="16:144" x14ac:dyDescent="0.3">
      <c r="P36" s="4"/>
      <c r="Q36" s="4"/>
      <c r="R36" s="4"/>
      <c r="S36" s="4"/>
      <c r="DX36" s="58"/>
      <c r="DY36" s="58"/>
      <c r="DZ36" s="58"/>
      <c r="EA36" s="58"/>
      <c r="EB36" s="58"/>
      <c r="EC36" s="58"/>
      <c r="ED36" s="58"/>
      <c r="EE36" s="58"/>
      <c r="EF36" s="58"/>
      <c r="EG36" s="58"/>
      <c r="EH36" s="58"/>
      <c r="EI36" s="58"/>
      <c r="EJ36" s="58"/>
      <c r="EK36" s="58"/>
      <c r="EL36" s="58"/>
      <c r="EM36" s="58"/>
      <c r="EN36" s="58"/>
    </row>
    <row r="37" spans="16:144" x14ac:dyDescent="0.3">
      <c r="P37" s="4"/>
      <c r="Q37" s="4"/>
      <c r="R37" s="4"/>
      <c r="S37" s="4"/>
      <c r="DX37" s="58"/>
      <c r="DY37" s="58"/>
      <c r="DZ37" s="58"/>
      <c r="EA37" s="58"/>
      <c r="EB37" s="58"/>
      <c r="EC37" s="58"/>
      <c r="ED37" s="58"/>
      <c r="EE37" s="58"/>
      <c r="EF37" s="58"/>
      <c r="EG37" s="58"/>
      <c r="EH37" s="58"/>
      <c r="EI37" s="58"/>
      <c r="EJ37" s="58"/>
      <c r="EK37" s="58"/>
      <c r="EL37" s="58"/>
      <c r="EM37" s="58"/>
      <c r="EN37" s="58"/>
    </row>
    <row r="38" spans="16:144" x14ac:dyDescent="0.3">
      <c r="P38" s="4"/>
      <c r="Q38" s="4"/>
      <c r="R38" s="4"/>
      <c r="S38" s="4"/>
      <c r="DX38" s="58"/>
      <c r="DY38" s="58"/>
      <c r="DZ38" s="58"/>
      <c r="EA38" s="58"/>
      <c r="EB38" s="58"/>
      <c r="EC38" s="58"/>
      <c r="ED38" s="58"/>
      <c r="EE38" s="58"/>
      <c r="EF38" s="58"/>
      <c r="EG38" s="58"/>
      <c r="EH38" s="58"/>
      <c r="EI38" s="58"/>
      <c r="EJ38" s="58"/>
      <c r="EK38" s="58"/>
      <c r="EL38" s="58"/>
      <c r="EM38" s="58"/>
      <c r="EN38" s="58"/>
    </row>
    <row r="39" spans="16:144" x14ac:dyDescent="0.3">
      <c r="P39" s="4"/>
      <c r="Q39" s="4"/>
      <c r="R39" s="4"/>
      <c r="S39" s="4"/>
      <c r="DX39" s="58"/>
      <c r="DY39" s="58"/>
      <c r="DZ39" s="58"/>
      <c r="EA39" s="58"/>
      <c r="EB39" s="58"/>
      <c r="EC39" s="58"/>
      <c r="ED39" s="58"/>
      <c r="EE39" s="58"/>
      <c r="EF39" s="58"/>
      <c r="EG39" s="58"/>
      <c r="EH39" s="58"/>
      <c r="EI39" s="58"/>
      <c r="EJ39" s="58"/>
      <c r="EK39" s="58"/>
      <c r="EL39" s="58"/>
      <c r="EM39" s="58"/>
      <c r="EN39" s="58"/>
    </row>
    <row r="40" spans="16:144" x14ac:dyDescent="0.3">
      <c r="P40" s="4"/>
      <c r="Q40" s="4"/>
      <c r="R40" s="4"/>
      <c r="S40" s="4"/>
      <c r="DX40" s="58"/>
      <c r="DY40" s="58"/>
      <c r="DZ40" s="58"/>
      <c r="EA40" s="58"/>
      <c r="EB40" s="58"/>
      <c r="EC40" s="58"/>
      <c r="ED40" s="58"/>
      <c r="EE40" s="58"/>
      <c r="EF40" s="58"/>
      <c r="EG40" s="58"/>
      <c r="EH40" s="58"/>
      <c r="EI40" s="58"/>
      <c r="EJ40" s="58"/>
      <c r="EK40" s="58"/>
      <c r="EL40" s="58"/>
      <c r="EM40" s="58"/>
      <c r="EN40" s="58"/>
    </row>
    <row r="41" spans="16:144" x14ac:dyDescent="0.3">
      <c r="P41" s="4"/>
      <c r="Q41" s="4"/>
      <c r="R41" s="4"/>
      <c r="S41" s="4"/>
      <c r="DX41" s="58"/>
      <c r="DY41" s="58"/>
      <c r="DZ41" s="58"/>
      <c r="EA41" s="58"/>
      <c r="EB41" s="58"/>
      <c r="EC41" s="58"/>
      <c r="ED41" s="58"/>
      <c r="EE41" s="58"/>
      <c r="EF41" s="58"/>
      <c r="EG41" s="58"/>
      <c r="EH41" s="58"/>
      <c r="EI41" s="58"/>
      <c r="EJ41" s="58"/>
      <c r="EK41" s="58"/>
      <c r="EL41" s="58"/>
      <c r="EM41" s="58"/>
      <c r="EN41" s="58"/>
    </row>
    <row r="42" spans="16:144" x14ac:dyDescent="0.3">
      <c r="P42" s="4"/>
      <c r="Q42" s="4"/>
      <c r="R42" s="4"/>
      <c r="S42" s="4"/>
      <c r="DX42" s="58"/>
      <c r="DY42" s="58"/>
      <c r="DZ42" s="58"/>
      <c r="EA42" s="58"/>
      <c r="EB42" s="58"/>
      <c r="EC42" s="58"/>
      <c r="ED42" s="58"/>
      <c r="EE42" s="58"/>
      <c r="EF42" s="58"/>
      <c r="EG42" s="58"/>
      <c r="EH42" s="58"/>
      <c r="EI42" s="58"/>
      <c r="EJ42" s="58"/>
      <c r="EK42" s="58"/>
      <c r="EL42" s="58"/>
      <c r="EM42" s="58"/>
      <c r="EN42" s="58"/>
    </row>
    <row r="43" spans="16:144" x14ac:dyDescent="0.3">
      <c r="P43" s="4"/>
      <c r="Q43" s="4"/>
      <c r="R43" s="4"/>
      <c r="S43" s="4"/>
      <c r="DX43" s="58"/>
      <c r="DY43" s="58"/>
      <c r="DZ43" s="58"/>
      <c r="EA43" s="58"/>
      <c r="EB43" s="58"/>
      <c r="EC43" s="58"/>
      <c r="ED43" s="58"/>
      <c r="EE43" s="58"/>
      <c r="EF43" s="58"/>
      <c r="EG43" s="58"/>
      <c r="EH43" s="58"/>
      <c r="EI43" s="58"/>
      <c r="EJ43" s="58"/>
      <c r="EK43" s="58"/>
      <c r="EL43" s="58"/>
      <c r="EM43" s="58"/>
      <c r="EN43" s="58"/>
    </row>
    <row r="44" spans="16:144" x14ac:dyDescent="0.3">
      <c r="P44" s="4"/>
      <c r="Q44" s="4"/>
      <c r="R44" s="4"/>
      <c r="S44" s="4"/>
      <c r="DX44" s="58"/>
      <c r="DY44" s="58"/>
      <c r="DZ44" s="58"/>
      <c r="EA44" s="58"/>
      <c r="EB44" s="58"/>
      <c r="EC44" s="58"/>
      <c r="ED44" s="58"/>
      <c r="EE44" s="58"/>
      <c r="EF44" s="58"/>
      <c r="EG44" s="58"/>
      <c r="EH44" s="58"/>
      <c r="EI44" s="58"/>
      <c r="EJ44" s="58"/>
      <c r="EK44" s="58"/>
      <c r="EL44" s="58"/>
      <c r="EM44" s="58"/>
      <c r="EN44" s="58"/>
    </row>
    <row r="45" spans="16:144" x14ac:dyDescent="0.3">
      <c r="P45" s="4"/>
      <c r="Q45" s="4"/>
      <c r="R45" s="4"/>
      <c r="S45" s="4"/>
      <c r="DX45" s="58"/>
      <c r="DY45" s="58"/>
      <c r="DZ45" s="58"/>
      <c r="EA45" s="58"/>
      <c r="EB45" s="58"/>
      <c r="EC45" s="58"/>
      <c r="ED45" s="58"/>
      <c r="EE45" s="58"/>
      <c r="EF45" s="58"/>
      <c r="EG45" s="58"/>
      <c r="EH45" s="58"/>
      <c r="EI45" s="58"/>
      <c r="EJ45" s="58"/>
      <c r="EK45" s="58"/>
      <c r="EL45" s="58"/>
      <c r="EM45" s="58"/>
      <c r="EN45" s="58"/>
    </row>
    <row r="46" spans="16:144" x14ac:dyDescent="0.3">
      <c r="P46" s="4"/>
      <c r="Q46" s="4"/>
      <c r="R46" s="4"/>
      <c r="S46" s="4"/>
      <c r="DX46" s="58"/>
      <c r="DY46" s="58"/>
      <c r="DZ46" s="58"/>
      <c r="EA46" s="58"/>
      <c r="EB46" s="58"/>
      <c r="EC46" s="58"/>
      <c r="ED46" s="58"/>
      <c r="EE46" s="58"/>
      <c r="EF46" s="58"/>
      <c r="EG46" s="58"/>
      <c r="EH46" s="58"/>
      <c r="EI46" s="58"/>
      <c r="EJ46" s="58"/>
      <c r="EK46" s="58"/>
      <c r="EL46" s="58"/>
      <c r="EM46" s="58"/>
      <c r="EN46" s="58"/>
    </row>
    <row r="47" spans="16:144" x14ac:dyDescent="0.3">
      <c r="P47" s="4"/>
      <c r="Q47" s="4"/>
      <c r="R47" s="4"/>
      <c r="S47" s="4"/>
      <c r="DX47" s="58"/>
      <c r="DY47" s="58"/>
      <c r="DZ47" s="58"/>
      <c r="EA47" s="58"/>
      <c r="EB47" s="58"/>
      <c r="EC47" s="58"/>
      <c r="ED47" s="58"/>
      <c r="EE47" s="58"/>
      <c r="EF47" s="58"/>
      <c r="EG47" s="58"/>
      <c r="EH47" s="58"/>
      <c r="EI47" s="58"/>
      <c r="EJ47" s="58"/>
      <c r="EK47" s="58"/>
      <c r="EL47" s="58"/>
      <c r="EM47" s="58"/>
      <c r="EN47" s="58"/>
    </row>
    <row r="48" spans="16:144" x14ac:dyDescent="0.3">
      <c r="P48" s="4"/>
      <c r="Q48" s="4"/>
      <c r="R48" s="4"/>
      <c r="S48" s="4"/>
      <c r="DX48" s="58"/>
      <c r="DY48" s="58"/>
      <c r="DZ48" s="58"/>
      <c r="EA48" s="58"/>
      <c r="EB48" s="58"/>
      <c r="EC48" s="58"/>
      <c r="ED48" s="58"/>
      <c r="EE48" s="58"/>
      <c r="EF48" s="58"/>
      <c r="EG48" s="58"/>
      <c r="EH48" s="58"/>
      <c r="EI48" s="58"/>
      <c r="EJ48" s="58"/>
      <c r="EK48" s="58"/>
      <c r="EL48" s="58"/>
      <c r="EM48" s="58"/>
      <c r="EN48" s="58"/>
    </row>
    <row r="49" spans="1:144" x14ac:dyDescent="0.3">
      <c r="A49" s="4"/>
      <c r="B49" s="5"/>
      <c r="C49" s="5"/>
      <c r="D49" s="6"/>
      <c r="E49" s="4"/>
      <c r="F49" s="4"/>
      <c r="G49" s="4"/>
      <c r="H49" s="4"/>
      <c r="I49" s="4"/>
      <c r="J49" s="4"/>
      <c r="K49" s="4"/>
      <c r="L49" s="4"/>
      <c r="M49" s="4"/>
      <c r="N49" s="4"/>
      <c r="O49" s="4"/>
      <c r="P49" s="4"/>
      <c r="Q49" s="4"/>
      <c r="R49" s="4"/>
      <c r="S49" s="4"/>
      <c r="DX49" s="58"/>
      <c r="DY49" s="58"/>
      <c r="DZ49" s="58"/>
      <c r="EA49" s="58"/>
      <c r="EB49" s="58"/>
      <c r="EC49" s="58"/>
      <c r="ED49" s="58"/>
      <c r="EE49" s="58"/>
      <c r="EF49" s="58"/>
      <c r="EG49" s="58"/>
      <c r="EH49" s="58"/>
      <c r="EI49" s="58"/>
      <c r="EJ49" s="58"/>
      <c r="EK49" s="58"/>
      <c r="EL49" s="58"/>
      <c r="EM49" s="58"/>
      <c r="EN49" s="58"/>
    </row>
    <row r="50" spans="1:144" x14ac:dyDescent="0.3">
      <c r="A50" s="4"/>
      <c r="B50" s="5"/>
      <c r="C50" s="5"/>
      <c r="D50" s="6"/>
      <c r="E50" s="4"/>
      <c r="F50" s="123"/>
      <c r="G50" s="123"/>
      <c r="H50" s="123"/>
      <c r="I50" s="123"/>
      <c r="J50" s="123"/>
      <c r="K50" s="123"/>
      <c r="L50" s="123"/>
      <c r="M50" s="123"/>
      <c r="N50" s="123"/>
      <c r="O50" s="4"/>
      <c r="P50" s="4"/>
      <c r="Q50" s="4"/>
      <c r="R50" s="4"/>
      <c r="S50" s="4"/>
      <c r="DX50" s="58"/>
      <c r="DY50" s="58"/>
      <c r="DZ50" s="58"/>
      <c r="EA50" s="58"/>
      <c r="EB50" s="58"/>
      <c r="EC50" s="58"/>
      <c r="ED50" s="58"/>
      <c r="EE50" s="58"/>
      <c r="EF50" s="58"/>
      <c r="EG50" s="58"/>
      <c r="EH50" s="58"/>
      <c r="EI50" s="58"/>
      <c r="EJ50" s="58"/>
      <c r="EK50" s="58"/>
      <c r="EL50" s="58"/>
      <c r="EM50" s="58"/>
      <c r="EN50" s="58"/>
    </row>
    <row r="51" spans="1:144" x14ac:dyDescent="0.3">
      <c r="A51" s="4"/>
      <c r="B51" s="5"/>
      <c r="C51" s="5"/>
      <c r="D51" s="6"/>
      <c r="E51" s="4"/>
      <c r="F51" s="123"/>
      <c r="G51" s="123"/>
      <c r="H51" s="123"/>
      <c r="I51" s="123"/>
      <c r="J51" s="123"/>
      <c r="K51" s="123"/>
      <c r="L51" s="123"/>
      <c r="M51" s="123"/>
      <c r="N51" s="123"/>
      <c r="O51" s="4"/>
      <c r="P51" s="4"/>
      <c r="Q51" s="4"/>
      <c r="R51" s="4"/>
      <c r="S51" s="4"/>
      <c r="DX51" s="58"/>
      <c r="DY51" s="58"/>
      <c r="DZ51" s="58"/>
      <c r="EA51" s="58"/>
      <c r="EB51" s="58"/>
      <c r="EC51" s="58"/>
      <c r="ED51" s="58"/>
      <c r="EE51" s="58"/>
      <c r="EF51" s="58"/>
      <c r="EG51" s="58"/>
      <c r="EH51" s="58"/>
      <c r="EI51" s="58"/>
      <c r="EJ51" s="58"/>
      <c r="EK51" s="58"/>
      <c r="EL51" s="58"/>
      <c r="EM51" s="58"/>
      <c r="EN51" s="58"/>
    </row>
    <row r="52" spans="1:144" x14ac:dyDescent="0.3">
      <c r="A52" s="4"/>
      <c r="B52" s="5"/>
      <c r="C52" s="5"/>
      <c r="D52" s="6"/>
      <c r="E52" s="4"/>
      <c r="F52" s="123"/>
      <c r="G52" s="123"/>
      <c r="H52" s="123"/>
      <c r="I52" s="123"/>
      <c r="J52" s="123"/>
      <c r="K52" s="123"/>
      <c r="L52" s="123"/>
      <c r="M52" s="123"/>
      <c r="N52" s="123"/>
      <c r="O52" s="4"/>
      <c r="P52" s="4"/>
      <c r="Q52" s="4"/>
      <c r="R52" s="4"/>
      <c r="S52" s="4"/>
      <c r="DX52" s="58"/>
      <c r="DY52" s="58"/>
      <c r="DZ52" s="58"/>
      <c r="EA52" s="58"/>
      <c r="EB52" s="58"/>
      <c r="EC52" s="58"/>
      <c r="ED52" s="58"/>
      <c r="EE52" s="58"/>
      <c r="EF52" s="58"/>
      <c r="EG52" s="58"/>
      <c r="EH52" s="58"/>
      <c r="EI52" s="58"/>
      <c r="EJ52" s="58"/>
      <c r="EK52" s="58"/>
      <c r="EL52" s="58"/>
      <c r="EM52" s="58"/>
      <c r="EN52" s="58"/>
    </row>
    <row r="53" spans="1:144" x14ac:dyDescent="0.3">
      <c r="A53" s="4"/>
      <c r="B53" s="5"/>
      <c r="C53" s="5"/>
      <c r="D53" s="6"/>
      <c r="E53" s="4"/>
      <c r="F53" s="4"/>
      <c r="G53" s="4"/>
      <c r="H53" s="4"/>
      <c r="I53" s="4"/>
      <c r="J53" s="4"/>
      <c r="K53" s="4"/>
      <c r="L53" s="4"/>
      <c r="M53" s="4"/>
      <c r="N53" s="4"/>
      <c r="O53" s="4"/>
      <c r="P53" s="4"/>
      <c r="Q53" s="4"/>
      <c r="R53" s="4"/>
      <c r="S53" s="4"/>
    </row>
  </sheetData>
  <sheetProtection sheet="1" objects="1" scenarios="1" selectLockedCells="1"/>
  <mergeCells count="52">
    <mergeCell ref="T3:W3"/>
    <mergeCell ref="BD3:BF3"/>
    <mergeCell ref="CN3:CQ3"/>
    <mergeCell ref="DF3:DI3"/>
    <mergeCell ref="DX3:EH3"/>
    <mergeCell ref="EK4:EN4"/>
    <mergeCell ref="F5:N7"/>
    <mergeCell ref="X5:AF7"/>
    <mergeCell ref="AP5:AX7"/>
    <mergeCell ref="BH5:BP7"/>
    <mergeCell ref="BZ5:CH7"/>
    <mergeCell ref="CR5:CZ7"/>
    <mergeCell ref="DJ5:DR7"/>
    <mergeCell ref="DX4:DY4"/>
    <mergeCell ref="DZ4:EH4"/>
    <mergeCell ref="AT9:AW9"/>
    <mergeCell ref="F11:G11"/>
    <mergeCell ref="J11:M11"/>
    <mergeCell ref="X11:Y11"/>
    <mergeCell ref="AB11:AE11"/>
    <mergeCell ref="AP11:AQ11"/>
    <mergeCell ref="AT11:AW11"/>
    <mergeCell ref="DJ11:DK11"/>
    <mergeCell ref="DN11:DQ11"/>
    <mergeCell ref="J13:M13"/>
    <mergeCell ref="AB13:AE13"/>
    <mergeCell ref="AT13:AW13"/>
    <mergeCell ref="BL13:BO13"/>
    <mergeCell ref="CD13:CG13"/>
    <mergeCell ref="CV13:CY13"/>
    <mergeCell ref="DN13:DQ13"/>
    <mergeCell ref="BH11:BI11"/>
    <mergeCell ref="BL11:BO11"/>
    <mergeCell ref="BZ11:CA11"/>
    <mergeCell ref="CD11:CG11"/>
    <mergeCell ref="CR11:CS11"/>
    <mergeCell ref="CV11:CY11"/>
    <mergeCell ref="F23:N25"/>
    <mergeCell ref="F50:N52"/>
    <mergeCell ref="DN15:DQ15"/>
    <mergeCell ref="J17:M17"/>
    <mergeCell ref="AB17:AE17"/>
    <mergeCell ref="AT17:AW17"/>
    <mergeCell ref="BL17:BO17"/>
    <mergeCell ref="CD17:CG17"/>
    <mergeCell ref="CV17:CY17"/>
    <mergeCell ref="J15:M15"/>
    <mergeCell ref="AB15:AE15"/>
    <mergeCell ref="AT15:AW15"/>
    <mergeCell ref="BL15:BO15"/>
    <mergeCell ref="CD15:CG15"/>
    <mergeCell ref="CV15:CY15"/>
  </mergeCells>
  <conditionalFormatting sqref="EM5:EM21">
    <cfRule type="top10" dxfId="24" priority="1" rank="3"/>
  </conditionalFormatting>
  <printOptions verticalCentered="1"/>
  <pageMargins left="0.74803149606299213" right="0.74803149606299213" top="1.1811023622047245" bottom="0.98425196850393704" header="0.51181102362204722" footer="0.51181102362204722"/>
  <pageSetup paperSize="9" scale="10" orientation="portrait" horizontalDpi="4294967294" verticalDpi="0" r:id="rId1"/>
  <headerFooter alignWithMargins="0">
    <oddHeader>&amp;C&amp;24&amp;K03+000
Results Belbintest&amp;R&amp;G</oddHeader>
    <oddFooter>&amp;R&amp;K03+000Printing date &amp;D</oddFooter>
  </headerFooter>
  <colBreaks count="13" manualBreakCount="13">
    <brk id="5" max="1048575" man="1"/>
    <brk id="18" max="1048575" man="1"/>
    <brk id="23" max="1048575" man="1"/>
    <brk id="41" max="1048575" man="1"/>
    <brk id="54" max="1048575" man="1"/>
    <brk id="59" max="1048575" man="1"/>
    <brk id="77" max="1048575" man="1"/>
    <brk id="90" max="1048575" man="1"/>
    <brk id="95" max="1048575" man="1"/>
    <brk id="108" max="1048575" man="1"/>
    <brk id="113" max="1048575" man="1"/>
    <brk id="126" max="1048575" man="1"/>
    <brk id="144" max="1048575" man="1"/>
  </colBreaks>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
  <dimension ref="A1:AA25"/>
  <sheetViews>
    <sheetView showGridLines="0" workbookViewId="0">
      <pane xSplit="1" ySplit="3" topLeftCell="B4" activePane="bottomRight" state="frozen"/>
      <selection pane="topRight" activeCell="C1" sqref="C1"/>
      <selection pane="bottomLeft" activeCell="A4" sqref="A4"/>
      <selection pane="bottomRight" activeCell="AC17" sqref="AC17"/>
    </sheetView>
  </sheetViews>
  <sheetFormatPr defaultRowHeight="14.4" x14ac:dyDescent="0.3"/>
  <cols>
    <col min="1" max="1" width="26" customWidth="1"/>
    <col min="2" max="2" width="2.77734375" customWidth="1"/>
    <col min="4" max="5" width="2.77734375" customWidth="1"/>
    <col min="7" max="8" width="2.77734375" customWidth="1"/>
    <col min="10" max="11" width="2.77734375" customWidth="1"/>
    <col min="13" max="14" width="2.77734375" customWidth="1"/>
    <col min="16" max="17" width="2.77734375" customWidth="1"/>
    <col min="19" max="20" width="2.77734375" customWidth="1"/>
    <col min="22" max="23" width="2.77734375" customWidth="1"/>
    <col min="25" max="25" width="2.77734375" customWidth="1"/>
  </cols>
  <sheetData>
    <row r="1" spans="1:27" s="84" customFormat="1" ht="32.4" customHeight="1" x14ac:dyDescent="0.25">
      <c r="A1" s="83"/>
      <c r="Q1" s="85"/>
      <c r="R1" s="85"/>
      <c r="U1" s="94"/>
      <c r="V1" s="93"/>
      <c r="W1" s="95" t="s">
        <v>93</v>
      </c>
      <c r="X1" s="143">
        <f>Start!O1</f>
        <v>123</v>
      </c>
      <c r="Y1" s="143"/>
    </row>
    <row r="2" spans="1:27" s="84" customFormat="1" ht="17.399999999999999" customHeight="1" x14ac:dyDescent="0.25">
      <c r="A2" s="97"/>
      <c r="B2" s="150" t="s">
        <v>92</v>
      </c>
      <c r="C2" s="151"/>
      <c r="D2" s="151"/>
      <c r="E2" s="151"/>
      <c r="F2" s="151"/>
      <c r="G2" s="151"/>
      <c r="H2" s="151"/>
      <c r="I2" s="151"/>
      <c r="J2" s="151"/>
      <c r="K2" s="151"/>
      <c r="L2" s="151"/>
      <c r="M2" s="151"/>
      <c r="N2" s="151"/>
      <c r="O2" s="151"/>
      <c r="P2" s="151"/>
      <c r="Q2" s="151"/>
      <c r="R2" s="151"/>
      <c r="S2" s="151"/>
      <c r="T2" s="151"/>
      <c r="U2" s="151"/>
      <c r="V2" s="151"/>
      <c r="W2" s="151"/>
      <c r="X2" s="151"/>
      <c r="Y2" s="152"/>
    </row>
    <row r="3" spans="1:27" s="86" customFormat="1" ht="34.950000000000003" customHeight="1" x14ac:dyDescent="0.3">
      <c r="A3" s="98" t="s">
        <v>91</v>
      </c>
      <c r="B3" s="147" t="str">
        <f>IF(Start!C1="","",Start!C1)</f>
        <v>SON CAO</v>
      </c>
      <c r="C3" s="148"/>
      <c r="D3" s="149"/>
      <c r="E3" s="156" t="str">
        <f>IF(Start!C2="","",Start!C2)</f>
        <v/>
      </c>
      <c r="F3" s="157"/>
      <c r="G3" s="158"/>
      <c r="H3" s="159" t="str">
        <f>IF(Start!C3="","",Start!C3)</f>
        <v/>
      </c>
      <c r="I3" s="160"/>
      <c r="J3" s="161"/>
      <c r="K3" s="162" t="str">
        <f>IF(Start!C4="","",Start!C4)</f>
        <v/>
      </c>
      <c r="L3" s="163"/>
      <c r="M3" s="164"/>
      <c r="N3" s="165" t="str">
        <f>IF(Start!C5="","",Start!C5)</f>
        <v/>
      </c>
      <c r="O3" s="166"/>
      <c r="P3" s="167"/>
      <c r="Q3" s="168" t="str">
        <f>IF(Start!C6="","",Start!C6)</f>
        <v/>
      </c>
      <c r="R3" s="169"/>
      <c r="S3" s="170"/>
      <c r="T3" s="144" t="str">
        <f>IF(Start!C7="","",Start!C7)</f>
        <v/>
      </c>
      <c r="U3" s="145"/>
      <c r="V3" s="146"/>
      <c r="W3" s="153" t="str">
        <f>IF(Start!C8="","",Start!C8)</f>
        <v/>
      </c>
      <c r="X3" s="154"/>
      <c r="Y3" s="155"/>
    </row>
    <row r="4" spans="1:27" s="84" customFormat="1" ht="1.05" customHeight="1" x14ac:dyDescent="0.25">
      <c r="A4" s="99"/>
      <c r="B4" s="99"/>
      <c r="C4" s="99"/>
      <c r="D4" s="99"/>
      <c r="E4" s="99"/>
      <c r="F4" s="99"/>
      <c r="G4" s="99"/>
      <c r="H4" s="99"/>
      <c r="I4" s="99"/>
      <c r="J4" s="99"/>
      <c r="K4" s="99"/>
      <c r="L4" s="99"/>
      <c r="M4" s="99"/>
      <c r="N4" s="99"/>
      <c r="O4" s="99"/>
      <c r="P4" s="100"/>
      <c r="Q4" s="101"/>
      <c r="R4" s="101"/>
      <c r="S4" s="99"/>
      <c r="T4" s="99"/>
      <c r="U4" s="99"/>
      <c r="V4" s="99"/>
      <c r="W4" s="99"/>
      <c r="X4" s="99"/>
      <c r="Y4" s="99"/>
    </row>
    <row r="5" spans="1:27" s="91" customFormat="1" ht="24.9" customHeight="1" x14ac:dyDescent="0.3">
      <c r="A5" s="96" t="s">
        <v>82</v>
      </c>
      <c r="B5" s="102"/>
      <c r="C5" s="103">
        <f>'SON CAO'!$EM5</f>
        <v>2</v>
      </c>
      <c r="D5" s="104"/>
      <c r="E5" s="105"/>
      <c r="F5" s="103">
        <f>'2'!$EM5</f>
        <v>11</v>
      </c>
      <c r="G5" s="104"/>
      <c r="H5" s="105"/>
      <c r="I5" s="103">
        <f>'3'!$EM5</f>
        <v>0</v>
      </c>
      <c r="J5" s="104"/>
      <c r="K5" s="105"/>
      <c r="L5" s="103">
        <f>'4'!$EM5</f>
        <v>0</v>
      </c>
      <c r="M5" s="104"/>
      <c r="N5" s="105"/>
      <c r="O5" s="103">
        <f>'5'!$EM5</f>
        <v>0</v>
      </c>
      <c r="P5" s="104"/>
      <c r="Q5" s="105"/>
      <c r="R5" s="103">
        <f>'6'!$EM5</f>
        <v>0</v>
      </c>
      <c r="S5" s="104"/>
      <c r="T5" s="105"/>
      <c r="U5" s="103">
        <f>'7'!$EM5</f>
        <v>0</v>
      </c>
      <c r="V5" s="104"/>
      <c r="W5" s="105"/>
      <c r="X5" s="103">
        <f>'8'!$EM5</f>
        <v>0</v>
      </c>
      <c r="Y5" s="104"/>
    </row>
    <row r="6" spans="1:27" s="84" customFormat="1" ht="1.05" customHeight="1" x14ac:dyDescent="0.3">
      <c r="A6" s="107"/>
      <c r="B6" s="106"/>
      <c r="C6" s="106"/>
      <c r="D6" s="106"/>
      <c r="E6" s="106"/>
      <c r="F6" s="106"/>
      <c r="G6" s="106"/>
      <c r="H6" s="106"/>
      <c r="I6" s="106"/>
      <c r="J6" s="106"/>
      <c r="K6" s="106"/>
      <c r="L6" s="106"/>
      <c r="M6" s="106"/>
      <c r="N6" s="106"/>
      <c r="O6" s="106"/>
      <c r="P6" s="106"/>
      <c r="Q6" s="106"/>
      <c r="R6" s="106"/>
      <c r="S6" s="106"/>
      <c r="T6" s="106"/>
      <c r="U6" s="106"/>
      <c r="V6" s="106"/>
      <c r="W6" s="106"/>
      <c r="X6" s="106"/>
      <c r="Y6" s="106"/>
    </row>
    <row r="7" spans="1:27" s="91" customFormat="1" ht="24.9" customHeight="1" x14ac:dyDescent="0.3">
      <c r="A7" s="96" t="s">
        <v>83</v>
      </c>
      <c r="B7" s="102"/>
      <c r="C7" s="103">
        <f>'SON CAO'!EM7</f>
        <v>1</v>
      </c>
      <c r="D7" s="104"/>
      <c r="E7" s="105"/>
      <c r="F7" s="103">
        <f>'2'!$EM7</f>
        <v>7</v>
      </c>
      <c r="G7" s="104"/>
      <c r="H7" s="105"/>
      <c r="I7" s="103">
        <f>'3'!$EM7</f>
        <v>0</v>
      </c>
      <c r="J7" s="104"/>
      <c r="K7" s="105"/>
      <c r="L7" s="103">
        <f>'4'!$EM7</f>
        <v>0</v>
      </c>
      <c r="M7" s="104"/>
      <c r="N7" s="105"/>
      <c r="O7" s="103">
        <f>'5'!$EM7</f>
        <v>0</v>
      </c>
      <c r="P7" s="104"/>
      <c r="Q7" s="105"/>
      <c r="R7" s="103">
        <f>'6'!$EM7</f>
        <v>0</v>
      </c>
      <c r="S7" s="104"/>
      <c r="T7" s="105"/>
      <c r="U7" s="103">
        <f>'7'!$EM7</f>
        <v>0</v>
      </c>
      <c r="V7" s="104"/>
      <c r="W7" s="105"/>
      <c r="X7" s="103">
        <f>'8'!$EM7</f>
        <v>0</v>
      </c>
      <c r="Y7" s="104"/>
    </row>
    <row r="8" spans="1:27" s="84" customFormat="1" ht="1.05" customHeight="1" x14ac:dyDescent="0.3">
      <c r="A8" s="107"/>
      <c r="B8" s="106"/>
      <c r="C8" s="106"/>
      <c r="D8" s="106"/>
      <c r="E8" s="106"/>
      <c r="F8" s="106"/>
      <c r="G8" s="106"/>
      <c r="H8" s="106"/>
      <c r="I8" s="106"/>
      <c r="J8" s="106"/>
      <c r="K8" s="106"/>
      <c r="L8" s="106"/>
      <c r="M8" s="106"/>
      <c r="N8" s="106"/>
      <c r="O8" s="106"/>
      <c r="P8" s="106"/>
      <c r="Q8" s="106"/>
      <c r="R8" s="106"/>
      <c r="S8" s="106"/>
      <c r="T8" s="106"/>
      <c r="U8" s="106"/>
      <c r="V8" s="106"/>
      <c r="W8" s="106"/>
      <c r="X8" s="106"/>
      <c r="Y8" s="106"/>
    </row>
    <row r="9" spans="1:27" s="91" customFormat="1" ht="24.9" customHeight="1" x14ac:dyDescent="0.3">
      <c r="A9" s="96" t="s">
        <v>84</v>
      </c>
      <c r="B9" s="102"/>
      <c r="C9" s="103">
        <f>'SON CAO'!EM9</f>
        <v>0</v>
      </c>
      <c r="D9" s="104"/>
      <c r="E9" s="105"/>
      <c r="F9" s="103">
        <f>'2'!$EM9</f>
        <v>6</v>
      </c>
      <c r="G9" s="104"/>
      <c r="H9" s="105"/>
      <c r="I9" s="103">
        <f>'3'!$EM9</f>
        <v>0</v>
      </c>
      <c r="J9" s="104"/>
      <c r="K9" s="105"/>
      <c r="L9" s="103">
        <f>'4'!$EM9</f>
        <v>0</v>
      </c>
      <c r="M9" s="104"/>
      <c r="N9" s="105"/>
      <c r="O9" s="103">
        <f>'5'!$EM9</f>
        <v>0</v>
      </c>
      <c r="P9" s="104"/>
      <c r="Q9" s="105"/>
      <c r="R9" s="103">
        <f>'6'!$EM9</f>
        <v>0</v>
      </c>
      <c r="S9" s="104"/>
      <c r="T9" s="105"/>
      <c r="U9" s="103">
        <f>'7'!$EM9</f>
        <v>0</v>
      </c>
      <c r="V9" s="104"/>
      <c r="W9" s="105"/>
      <c r="X9" s="103">
        <f>'8'!$EM9</f>
        <v>0</v>
      </c>
      <c r="Y9" s="104"/>
    </row>
    <row r="10" spans="1:27" s="84" customFormat="1" ht="1.05" customHeight="1" x14ac:dyDescent="0.3">
      <c r="A10" s="107"/>
      <c r="B10" s="106"/>
      <c r="C10" s="106"/>
      <c r="D10" s="106"/>
      <c r="E10" s="106"/>
      <c r="F10" s="106"/>
      <c r="G10" s="106"/>
      <c r="H10" s="106"/>
      <c r="I10" s="106"/>
      <c r="J10" s="106"/>
      <c r="K10" s="106"/>
      <c r="L10" s="106"/>
      <c r="M10" s="106"/>
      <c r="N10" s="106"/>
      <c r="O10" s="106"/>
      <c r="P10" s="106"/>
      <c r="Q10" s="106"/>
      <c r="R10" s="106"/>
      <c r="S10" s="106"/>
      <c r="T10" s="106"/>
      <c r="U10" s="106"/>
      <c r="V10" s="106"/>
      <c r="W10" s="106"/>
      <c r="X10" s="106"/>
      <c r="Y10" s="106"/>
      <c r="Z10" s="91"/>
      <c r="AA10" s="91"/>
    </row>
    <row r="11" spans="1:27" s="91" customFormat="1" ht="24.9" customHeight="1" x14ac:dyDescent="0.3">
      <c r="A11" s="96" t="s">
        <v>85</v>
      </c>
      <c r="B11" s="102"/>
      <c r="C11" s="103">
        <f>'SON CAO'!EM11</f>
        <v>1</v>
      </c>
      <c r="D11" s="104"/>
      <c r="E11" s="105"/>
      <c r="F11" s="103">
        <f>'2'!$EM11</f>
        <v>8</v>
      </c>
      <c r="G11" s="104"/>
      <c r="H11" s="105"/>
      <c r="I11" s="103">
        <f>'3'!$EM11</f>
        <v>0</v>
      </c>
      <c r="J11" s="104"/>
      <c r="K11" s="105"/>
      <c r="L11" s="103">
        <f>'4'!$EM11</f>
        <v>0</v>
      </c>
      <c r="M11" s="104"/>
      <c r="N11" s="105"/>
      <c r="O11" s="103">
        <f>'5'!$EM11</f>
        <v>0</v>
      </c>
      <c r="P11" s="104"/>
      <c r="Q11" s="105"/>
      <c r="R11" s="103">
        <f>'6'!$EM11</f>
        <v>0</v>
      </c>
      <c r="S11" s="104"/>
      <c r="T11" s="105"/>
      <c r="U11" s="103">
        <f>'7'!$EM11</f>
        <v>0</v>
      </c>
      <c r="V11" s="104"/>
      <c r="W11" s="105"/>
      <c r="X11" s="103">
        <f>'8'!$EM11</f>
        <v>0</v>
      </c>
      <c r="Y11" s="104"/>
    </row>
    <row r="12" spans="1:27" s="84" customFormat="1" ht="1.05" customHeight="1" x14ac:dyDescent="0.3">
      <c r="A12" s="107"/>
      <c r="B12" s="106"/>
      <c r="C12" s="106"/>
      <c r="D12" s="106"/>
      <c r="E12" s="106"/>
      <c r="F12" s="106"/>
      <c r="G12" s="106"/>
      <c r="H12" s="106"/>
      <c r="I12" s="106"/>
      <c r="J12" s="106"/>
      <c r="K12" s="106"/>
      <c r="L12" s="106"/>
      <c r="M12" s="106"/>
      <c r="N12" s="106"/>
      <c r="O12" s="106"/>
      <c r="P12" s="106"/>
      <c r="Q12" s="106"/>
      <c r="R12" s="106"/>
      <c r="S12" s="106"/>
      <c r="T12" s="106"/>
      <c r="U12" s="106"/>
      <c r="V12" s="106"/>
      <c r="W12" s="106"/>
      <c r="X12" s="106"/>
      <c r="Y12" s="106"/>
      <c r="Z12" s="91"/>
      <c r="AA12" s="91"/>
    </row>
    <row r="13" spans="1:27" s="91" customFormat="1" ht="24.9" customHeight="1" x14ac:dyDescent="0.3">
      <c r="A13" s="96" t="s">
        <v>86</v>
      </c>
      <c r="B13" s="102"/>
      <c r="C13" s="103">
        <f>'SON CAO'!EM13</f>
        <v>2</v>
      </c>
      <c r="D13" s="104"/>
      <c r="E13" s="105"/>
      <c r="F13" s="103">
        <f>'2'!$EM13</f>
        <v>7</v>
      </c>
      <c r="G13" s="104"/>
      <c r="H13" s="105"/>
      <c r="I13" s="103">
        <f>'3'!$EM13</f>
        <v>0</v>
      </c>
      <c r="J13" s="104"/>
      <c r="K13" s="105"/>
      <c r="L13" s="103">
        <f>'4'!$EM13</f>
        <v>0</v>
      </c>
      <c r="M13" s="104"/>
      <c r="N13" s="105"/>
      <c r="O13" s="103">
        <f>'5'!$EM13</f>
        <v>0</v>
      </c>
      <c r="P13" s="104"/>
      <c r="Q13" s="105"/>
      <c r="R13" s="103">
        <f>'6'!$EM13</f>
        <v>0</v>
      </c>
      <c r="S13" s="104"/>
      <c r="T13" s="105"/>
      <c r="U13" s="103">
        <f>'7'!$EM13</f>
        <v>0</v>
      </c>
      <c r="V13" s="104"/>
      <c r="W13" s="105"/>
      <c r="X13" s="103">
        <f>'8'!$EM13</f>
        <v>0</v>
      </c>
      <c r="Y13" s="104"/>
    </row>
    <row r="14" spans="1:27" s="84" customFormat="1" ht="1.05" customHeight="1" x14ac:dyDescent="0.3">
      <c r="A14" s="107"/>
      <c r="B14" s="106"/>
      <c r="C14" s="106"/>
      <c r="D14" s="106"/>
      <c r="E14" s="106"/>
      <c r="F14" s="106"/>
      <c r="G14" s="106"/>
      <c r="H14" s="106"/>
      <c r="I14" s="106"/>
      <c r="J14" s="106"/>
      <c r="K14" s="106"/>
      <c r="L14" s="106"/>
      <c r="M14" s="106"/>
      <c r="N14" s="106"/>
      <c r="O14" s="106"/>
      <c r="P14" s="106"/>
      <c r="Q14" s="106"/>
      <c r="R14" s="106"/>
      <c r="S14" s="106"/>
      <c r="T14" s="106"/>
      <c r="U14" s="106"/>
      <c r="V14" s="106"/>
      <c r="W14" s="106"/>
      <c r="X14" s="106"/>
      <c r="Y14" s="106"/>
    </row>
    <row r="15" spans="1:27" s="91" customFormat="1" ht="24.9" customHeight="1" x14ac:dyDescent="0.3">
      <c r="A15" s="96" t="s">
        <v>87</v>
      </c>
      <c r="B15" s="102"/>
      <c r="C15" s="103">
        <f>'SON CAO'!EM15</f>
        <v>0</v>
      </c>
      <c r="D15" s="104"/>
      <c r="E15" s="105"/>
      <c r="F15" s="103">
        <f>'2'!$EM15</f>
        <v>7</v>
      </c>
      <c r="G15" s="104"/>
      <c r="H15" s="105"/>
      <c r="I15" s="103">
        <f>'3'!$EM15</f>
        <v>0</v>
      </c>
      <c r="J15" s="104"/>
      <c r="K15" s="105"/>
      <c r="L15" s="103">
        <f>'4'!$EM15</f>
        <v>0</v>
      </c>
      <c r="M15" s="104"/>
      <c r="N15" s="105"/>
      <c r="O15" s="103">
        <f>'5'!$EM15</f>
        <v>0</v>
      </c>
      <c r="P15" s="104"/>
      <c r="Q15" s="105"/>
      <c r="R15" s="103">
        <f>'6'!$EM15</f>
        <v>0</v>
      </c>
      <c r="S15" s="104"/>
      <c r="T15" s="105"/>
      <c r="U15" s="103">
        <f>'7'!$EM15</f>
        <v>0</v>
      </c>
      <c r="V15" s="104"/>
      <c r="W15" s="105"/>
      <c r="X15" s="103">
        <f>'8'!$EM15</f>
        <v>0</v>
      </c>
      <c r="Y15" s="104"/>
    </row>
    <row r="16" spans="1:27" s="84" customFormat="1" ht="1.05" customHeight="1" x14ac:dyDescent="0.3">
      <c r="A16" s="107"/>
      <c r="B16" s="106"/>
      <c r="C16" s="106"/>
      <c r="D16" s="106"/>
      <c r="E16" s="106"/>
      <c r="F16" s="106"/>
      <c r="G16" s="106"/>
      <c r="H16" s="106"/>
      <c r="I16" s="106"/>
      <c r="J16" s="106"/>
      <c r="K16" s="106"/>
      <c r="L16" s="106"/>
      <c r="M16" s="106"/>
      <c r="N16" s="106"/>
      <c r="O16" s="106"/>
      <c r="P16" s="106"/>
      <c r="Q16" s="106"/>
      <c r="R16" s="106"/>
      <c r="S16" s="106"/>
      <c r="T16" s="106"/>
      <c r="U16" s="106"/>
      <c r="V16" s="106"/>
      <c r="W16" s="106"/>
      <c r="X16" s="106"/>
      <c r="Y16" s="106"/>
    </row>
    <row r="17" spans="1:25" s="91" customFormat="1" ht="24.9" customHeight="1" x14ac:dyDescent="0.3">
      <c r="A17" s="96" t="s">
        <v>88</v>
      </c>
      <c r="B17" s="102"/>
      <c r="C17" s="103">
        <f>'SON CAO'!EM17</f>
        <v>1</v>
      </c>
      <c r="D17" s="104"/>
      <c r="E17" s="105"/>
      <c r="F17" s="103">
        <f>'2'!$EM17</f>
        <v>9</v>
      </c>
      <c r="G17" s="104"/>
      <c r="H17" s="105"/>
      <c r="I17" s="103">
        <f>'3'!$EM17</f>
        <v>0</v>
      </c>
      <c r="J17" s="104"/>
      <c r="K17" s="105"/>
      <c r="L17" s="103">
        <f>'4'!$EM17</f>
        <v>0</v>
      </c>
      <c r="M17" s="104"/>
      <c r="N17" s="105"/>
      <c r="O17" s="103">
        <f>'5'!$EM17</f>
        <v>0</v>
      </c>
      <c r="P17" s="104"/>
      <c r="Q17" s="105"/>
      <c r="R17" s="103">
        <f>'6'!$EM17</f>
        <v>0</v>
      </c>
      <c r="S17" s="104"/>
      <c r="T17" s="105"/>
      <c r="U17" s="103">
        <f>'7'!$EM17</f>
        <v>0</v>
      </c>
      <c r="V17" s="104"/>
      <c r="W17" s="105"/>
      <c r="X17" s="103">
        <f>'8'!$EM17</f>
        <v>0</v>
      </c>
      <c r="Y17" s="104"/>
    </row>
    <row r="18" spans="1:25" s="84" customFormat="1" ht="1.05" customHeight="1" x14ac:dyDescent="0.3">
      <c r="A18" s="107"/>
      <c r="B18" s="106"/>
      <c r="C18" s="106"/>
      <c r="D18" s="106"/>
      <c r="E18" s="106"/>
      <c r="F18" s="106"/>
      <c r="G18" s="106"/>
      <c r="H18" s="106"/>
      <c r="I18" s="106"/>
      <c r="J18" s="106"/>
      <c r="K18" s="106"/>
      <c r="L18" s="106"/>
      <c r="M18" s="106"/>
      <c r="N18" s="106"/>
      <c r="O18" s="106"/>
      <c r="P18" s="106"/>
      <c r="Q18" s="106"/>
      <c r="R18" s="106"/>
      <c r="S18" s="106"/>
      <c r="T18" s="106"/>
      <c r="U18" s="106"/>
      <c r="V18" s="106"/>
      <c r="W18" s="106"/>
      <c r="X18" s="106"/>
      <c r="Y18" s="106"/>
    </row>
    <row r="19" spans="1:25" s="91" customFormat="1" ht="24.9" customHeight="1" x14ac:dyDescent="0.3">
      <c r="A19" s="96" t="s">
        <v>89</v>
      </c>
      <c r="B19" s="102"/>
      <c r="C19" s="103">
        <f>'SON CAO'!EM19</f>
        <v>2</v>
      </c>
      <c r="D19" s="104"/>
      <c r="E19" s="105"/>
      <c r="F19" s="103">
        <f>'2'!$EM19</f>
        <v>9</v>
      </c>
      <c r="G19" s="104"/>
      <c r="H19" s="105"/>
      <c r="I19" s="103">
        <f>'3'!$EM19</f>
        <v>0</v>
      </c>
      <c r="J19" s="104"/>
      <c r="K19" s="105"/>
      <c r="L19" s="103">
        <f>'4'!$EM19</f>
        <v>0</v>
      </c>
      <c r="M19" s="104"/>
      <c r="N19" s="105"/>
      <c r="O19" s="103">
        <f>'5'!$EM19</f>
        <v>0</v>
      </c>
      <c r="P19" s="104"/>
      <c r="Q19" s="105"/>
      <c r="R19" s="103">
        <f>'6'!$EM19</f>
        <v>0</v>
      </c>
      <c r="S19" s="104"/>
      <c r="T19" s="105"/>
      <c r="U19" s="103">
        <f>'7'!$EM19</f>
        <v>0</v>
      </c>
      <c r="V19" s="104"/>
      <c r="W19" s="105"/>
      <c r="X19" s="103">
        <f>'8'!$EM19</f>
        <v>0</v>
      </c>
      <c r="Y19" s="104"/>
    </row>
    <row r="20" spans="1:25" s="84" customFormat="1" ht="1.05" customHeight="1" x14ac:dyDescent="0.3">
      <c r="A20" s="107"/>
      <c r="B20" s="106"/>
      <c r="C20" s="106"/>
      <c r="D20" s="106"/>
      <c r="E20" s="106"/>
      <c r="F20" s="106"/>
      <c r="G20" s="106"/>
      <c r="H20" s="106"/>
      <c r="I20" s="106"/>
      <c r="J20" s="106"/>
      <c r="K20" s="106"/>
      <c r="L20" s="106"/>
      <c r="M20" s="106"/>
      <c r="N20" s="106"/>
      <c r="O20" s="106"/>
      <c r="P20" s="106"/>
      <c r="Q20" s="106"/>
      <c r="R20" s="106"/>
      <c r="S20" s="106"/>
      <c r="T20" s="106"/>
      <c r="U20" s="106"/>
      <c r="V20" s="106"/>
      <c r="W20" s="106"/>
      <c r="X20" s="106"/>
      <c r="Y20" s="106"/>
    </row>
    <row r="21" spans="1:25" s="91" customFormat="1" ht="24.9" customHeight="1" x14ac:dyDescent="0.3">
      <c r="A21" s="96" t="s">
        <v>90</v>
      </c>
      <c r="B21" s="102"/>
      <c r="C21" s="103">
        <f>'SON CAO'!EM21</f>
        <v>1</v>
      </c>
      <c r="D21" s="104"/>
      <c r="E21" s="105"/>
      <c r="F21" s="103">
        <f>'2'!$EM21</f>
        <v>6</v>
      </c>
      <c r="G21" s="104"/>
      <c r="H21" s="105"/>
      <c r="I21" s="103">
        <f>'3'!$EM21</f>
        <v>0</v>
      </c>
      <c r="J21" s="104"/>
      <c r="K21" s="105"/>
      <c r="L21" s="103">
        <f>'4'!$EM21</f>
        <v>0</v>
      </c>
      <c r="M21" s="104"/>
      <c r="N21" s="105"/>
      <c r="O21" s="103">
        <f>'5'!$EM21</f>
        <v>0</v>
      </c>
      <c r="P21" s="104"/>
      <c r="Q21" s="105"/>
      <c r="R21" s="103">
        <f>'6'!$EM21</f>
        <v>0</v>
      </c>
      <c r="S21" s="104"/>
      <c r="T21" s="105"/>
      <c r="U21" s="103">
        <f>'7'!$EM21</f>
        <v>0</v>
      </c>
      <c r="V21" s="104"/>
      <c r="W21" s="105"/>
      <c r="X21" s="103">
        <f>'8'!$EM21</f>
        <v>0</v>
      </c>
      <c r="Y21" s="104"/>
    </row>
    <row r="22" spans="1:25" s="84" customFormat="1" ht="1.05" customHeight="1" x14ac:dyDescent="0.25">
      <c r="A22" s="108"/>
      <c r="B22" s="82"/>
      <c r="C22" s="82"/>
      <c r="D22" s="82"/>
      <c r="E22" s="82"/>
      <c r="F22" s="82"/>
      <c r="G22" s="82"/>
      <c r="H22" s="82"/>
      <c r="I22" s="82"/>
      <c r="J22" s="82"/>
      <c r="K22" s="82"/>
      <c r="L22" s="82"/>
      <c r="M22" s="82"/>
      <c r="N22" s="82"/>
      <c r="O22" s="82"/>
      <c r="P22" s="82"/>
      <c r="Q22" s="82"/>
      <c r="R22" s="82"/>
      <c r="S22" s="82"/>
      <c r="T22" s="82"/>
      <c r="U22" s="82"/>
      <c r="V22" s="82"/>
      <c r="W22" s="82"/>
      <c r="X22" s="82"/>
      <c r="Y22" s="82"/>
    </row>
    <row r="23" spans="1:25" s="84" customFormat="1" ht="12.75" customHeight="1" x14ac:dyDescent="0.25">
      <c r="A23" s="83"/>
      <c r="B23" s="92"/>
      <c r="C23" s="92"/>
      <c r="D23" s="92"/>
      <c r="E23" s="92"/>
      <c r="F23" s="92"/>
      <c r="G23" s="92"/>
      <c r="H23" s="92"/>
      <c r="I23" s="92"/>
      <c r="J23" s="92"/>
    </row>
    <row r="24" spans="1:25" s="91" customFormat="1" ht="19.95" customHeight="1" x14ac:dyDescent="0.3">
      <c r="A24" s="83"/>
      <c r="B24" s="92"/>
      <c r="C24" s="92"/>
      <c r="D24" s="92"/>
      <c r="E24" s="92"/>
      <c r="F24" s="92"/>
      <c r="G24" s="92"/>
      <c r="H24" s="92"/>
      <c r="I24" s="92"/>
      <c r="J24" s="92"/>
    </row>
    <row r="25" spans="1:25" s="91" customFormat="1" ht="19.95" customHeight="1" x14ac:dyDescent="0.3">
      <c r="A25" s="83"/>
      <c r="B25" s="87"/>
      <c r="C25" s="88"/>
      <c r="D25" s="89"/>
      <c r="E25" s="90"/>
      <c r="F25" s="88"/>
      <c r="G25" s="89"/>
      <c r="H25" s="90"/>
      <c r="I25" s="88"/>
      <c r="J25" s="89"/>
      <c r="K25" s="90"/>
      <c r="L25" s="88"/>
      <c r="M25" s="89"/>
      <c r="N25" s="90"/>
      <c r="O25" s="88"/>
      <c r="P25" s="89"/>
      <c r="Q25" s="90"/>
      <c r="R25" s="88"/>
      <c r="S25" s="89"/>
      <c r="T25" s="90"/>
      <c r="U25" s="88"/>
      <c r="V25" s="89"/>
      <c r="W25" s="90"/>
      <c r="X25" s="88"/>
      <c r="Y25" s="89"/>
    </row>
  </sheetData>
  <sheetProtection sheet="1" objects="1" scenarios="1" selectLockedCells="1"/>
  <mergeCells count="10">
    <mergeCell ref="X1:Y1"/>
    <mergeCell ref="T3:V3"/>
    <mergeCell ref="B3:D3"/>
    <mergeCell ref="B2:Y2"/>
    <mergeCell ref="W3:Y3"/>
    <mergeCell ref="E3:G3"/>
    <mergeCell ref="H3:J3"/>
    <mergeCell ref="K3:M3"/>
    <mergeCell ref="N3:P3"/>
    <mergeCell ref="Q3:S3"/>
  </mergeCells>
  <conditionalFormatting sqref="C5 C11 C13 C15 C17 C19 C21 C7 C9">
    <cfRule type="top10" dxfId="23" priority="87" rank="3"/>
  </conditionalFormatting>
  <conditionalFormatting sqref="F5 F7 F9 F11 F13 F15 F17 F19 F21">
    <cfRule type="top10" dxfId="22" priority="79" rank="3"/>
  </conditionalFormatting>
  <conditionalFormatting sqref="I5 I7 I9 I11 I13 I15 I17 I19 I21">
    <cfRule type="top10" dxfId="21" priority="78" rank="3"/>
  </conditionalFormatting>
  <conditionalFormatting sqref="L5 L7 L9 L11 L13 L15 L17 L19 L21">
    <cfRule type="top10" dxfId="20" priority="77" rank="3"/>
  </conditionalFormatting>
  <conditionalFormatting sqref="O5 O7 O9 O11 O13 O15 O17 O19 O21">
    <cfRule type="top10" dxfId="19" priority="76" rank="3"/>
  </conditionalFormatting>
  <conditionalFormatting sqref="R5 R7 R9 R11 R13 R15 R17 R19 R21">
    <cfRule type="top10" dxfId="18" priority="75" rank="3"/>
  </conditionalFormatting>
  <conditionalFormatting sqref="U5 U11 U13 U15 U17 U19 U21 U7 U9">
    <cfRule type="top10" dxfId="17" priority="74" rank="3"/>
  </conditionalFormatting>
  <conditionalFormatting sqref="X5 X7 X9 X11 X13 X15 X17 X19 X21">
    <cfRule type="top10" dxfId="16" priority="73" rank="3"/>
  </conditionalFormatting>
  <conditionalFormatting sqref="C25">
    <cfRule type="top10" dxfId="15" priority="16" rank="3"/>
  </conditionalFormatting>
  <conditionalFormatting sqref="F25">
    <cfRule type="top10" dxfId="14" priority="15" rank="3"/>
  </conditionalFormatting>
  <conditionalFormatting sqref="I25">
    <cfRule type="top10" dxfId="13" priority="14" rank="3"/>
  </conditionalFormatting>
  <conditionalFormatting sqref="L25">
    <cfRule type="top10" dxfId="12" priority="13" rank="3"/>
  </conditionalFormatting>
  <conditionalFormatting sqref="O25">
    <cfRule type="top10" dxfId="11" priority="12" rank="3"/>
  </conditionalFormatting>
  <conditionalFormatting sqref="R25">
    <cfRule type="top10" dxfId="10" priority="11" rank="3"/>
  </conditionalFormatting>
  <conditionalFormatting sqref="U25">
    <cfRule type="top10" dxfId="9" priority="10" rank="3"/>
  </conditionalFormatting>
  <conditionalFormatting sqref="X25">
    <cfRule type="top10" dxfId="8" priority="9" rank="3"/>
  </conditionalFormatting>
  <conditionalFormatting sqref="C5:C21">
    <cfRule type="top10" dxfId="7" priority="8" rank="1"/>
  </conditionalFormatting>
  <conditionalFormatting sqref="F5:F21">
    <cfRule type="top10" dxfId="6" priority="7" rank="1"/>
  </conditionalFormatting>
  <conditionalFormatting sqref="I5:I21">
    <cfRule type="top10" dxfId="5" priority="6" rank="1"/>
  </conditionalFormatting>
  <conditionalFormatting sqref="L5:L21">
    <cfRule type="top10" dxfId="4" priority="5" rank="1"/>
  </conditionalFormatting>
  <conditionalFormatting sqref="O5:O21">
    <cfRule type="top10" dxfId="3" priority="4" rank="1"/>
  </conditionalFormatting>
  <conditionalFormatting sqref="R5:R21">
    <cfRule type="top10" dxfId="2" priority="3" rank="1"/>
  </conditionalFormatting>
  <conditionalFormatting sqref="U5:U21">
    <cfRule type="top10" dxfId="1" priority="2" rank="1"/>
  </conditionalFormatting>
  <conditionalFormatting sqref="X5:X21">
    <cfRule type="top10" dxfId="0" priority="1" rank="1"/>
  </conditionalFormatting>
  <printOptions horizontalCentered="1" verticalCentered="1"/>
  <pageMargins left="0.7" right="0.7" top="1" bottom="0.75" header="0.3" footer="0.3"/>
  <pageSetup paperSize="9" scale="61" orientation="landscape" verticalDpi="0" r:id="rId1"/>
  <headerFooter>
    <oddHeader>&amp;C&amp;24&amp;K03+000
Groupresult Belbin test&amp;R&amp;G</oddHead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0"/>
  <dimension ref="A1:I10"/>
  <sheetViews>
    <sheetView workbookViewId="0">
      <selection activeCell="C18" sqref="C18"/>
    </sheetView>
  </sheetViews>
  <sheetFormatPr defaultColWidth="9.109375" defaultRowHeight="14.4" x14ac:dyDescent="0.3"/>
  <cols>
    <col min="1" max="1" width="18.88671875" bestFit="1" customWidth="1"/>
    <col min="2" max="9" width="10.77734375" customWidth="1"/>
    <col min="10" max="10" width="9.109375" customWidth="1"/>
  </cols>
  <sheetData>
    <row r="1" spans="1:9" x14ac:dyDescent="0.3">
      <c r="B1" t="str">
        <f>Total!B3</f>
        <v>SON CAO</v>
      </c>
      <c r="C1" t="str">
        <f>Total!E3</f>
        <v/>
      </c>
      <c r="D1" t="str">
        <f>Total!H3</f>
        <v/>
      </c>
      <c r="E1" t="str">
        <f>Total!K3</f>
        <v/>
      </c>
      <c r="F1" t="str">
        <f>Total!N3</f>
        <v/>
      </c>
      <c r="G1" t="str">
        <f>Total!Q3</f>
        <v/>
      </c>
      <c r="H1" t="str">
        <f>Total!T3</f>
        <v/>
      </c>
      <c r="I1" t="str">
        <f>Total!W3</f>
        <v/>
      </c>
    </row>
    <row r="2" spans="1:9" x14ac:dyDescent="0.3">
      <c r="A2" t="str">
        <f>Total!A5</f>
        <v>Implementor</v>
      </c>
      <c r="B2">
        <f>Total!C5</f>
        <v>2</v>
      </c>
      <c r="C2">
        <f>Total!F5</f>
        <v>11</v>
      </c>
      <c r="D2">
        <f>Total!I5</f>
        <v>0</v>
      </c>
      <c r="E2">
        <f>Total!L5</f>
        <v>0</v>
      </c>
      <c r="F2">
        <f>Total!O5</f>
        <v>0</v>
      </c>
      <c r="G2">
        <f>Total!R5</f>
        <v>0</v>
      </c>
      <c r="H2">
        <f>Total!U5</f>
        <v>0</v>
      </c>
      <c r="I2">
        <f>Total!X5</f>
        <v>0</v>
      </c>
    </row>
    <row r="3" spans="1:9" x14ac:dyDescent="0.3">
      <c r="A3" t="str">
        <f>Total!A7</f>
        <v>Coordinator</v>
      </c>
      <c r="B3">
        <f>Total!C7</f>
        <v>1</v>
      </c>
      <c r="C3">
        <f>Total!F7</f>
        <v>7</v>
      </c>
      <c r="D3">
        <f>Total!I7</f>
        <v>0</v>
      </c>
      <c r="E3">
        <f>Total!L7</f>
        <v>0</v>
      </c>
      <c r="F3">
        <f>Total!O7</f>
        <v>0</v>
      </c>
      <c r="G3">
        <f>Total!R7</f>
        <v>0</v>
      </c>
      <c r="H3">
        <f>Total!U7</f>
        <v>0</v>
      </c>
      <c r="I3">
        <f>Total!X7</f>
        <v>0</v>
      </c>
    </row>
    <row r="4" spans="1:9" x14ac:dyDescent="0.3">
      <c r="A4" t="str">
        <f>Total!A9</f>
        <v>Shaper</v>
      </c>
      <c r="B4">
        <f>Total!C9</f>
        <v>0</v>
      </c>
      <c r="C4">
        <f>Total!F9</f>
        <v>6</v>
      </c>
      <c r="D4">
        <f>Total!I9</f>
        <v>0</v>
      </c>
      <c r="E4">
        <f>Total!L9</f>
        <v>0</v>
      </c>
      <c r="F4">
        <f>Total!O9</f>
        <v>0</v>
      </c>
      <c r="G4">
        <f>Total!R9</f>
        <v>0</v>
      </c>
      <c r="H4">
        <f>Total!U9</f>
        <v>0</v>
      </c>
      <c r="I4">
        <f>Total!X9</f>
        <v>0</v>
      </c>
    </row>
    <row r="5" spans="1:9" x14ac:dyDescent="0.3">
      <c r="A5" t="str">
        <f>Total!A11</f>
        <v>Plant</v>
      </c>
      <c r="B5">
        <f>Total!C11</f>
        <v>1</v>
      </c>
      <c r="C5">
        <f>Total!F11</f>
        <v>8</v>
      </c>
      <c r="D5">
        <f>Total!I11</f>
        <v>0</v>
      </c>
      <c r="E5">
        <f>Total!L11</f>
        <v>0</v>
      </c>
      <c r="F5">
        <f>Total!O11</f>
        <v>0</v>
      </c>
      <c r="G5">
        <f>Total!R11</f>
        <v>0</v>
      </c>
      <c r="H5">
        <f>Total!U11</f>
        <v>0</v>
      </c>
      <c r="I5">
        <f>Total!X11</f>
        <v>0</v>
      </c>
    </row>
    <row r="6" spans="1:9" x14ac:dyDescent="0.3">
      <c r="A6" t="str">
        <f>Total!A13</f>
        <v>Resource Investigator</v>
      </c>
      <c r="B6">
        <f>Total!C13</f>
        <v>2</v>
      </c>
      <c r="C6">
        <f>Total!F13</f>
        <v>7</v>
      </c>
      <c r="D6">
        <f>Total!I13</f>
        <v>0</v>
      </c>
      <c r="E6">
        <f>Total!L13</f>
        <v>0</v>
      </c>
      <c r="F6">
        <f>Total!O13</f>
        <v>0</v>
      </c>
      <c r="G6">
        <f>Total!R13</f>
        <v>0</v>
      </c>
      <c r="H6">
        <f>Total!U13</f>
        <v>0</v>
      </c>
      <c r="I6">
        <f>Total!X13</f>
        <v>0</v>
      </c>
    </row>
    <row r="7" spans="1:9" x14ac:dyDescent="0.3">
      <c r="A7" t="str">
        <f>Total!A15</f>
        <v>Monitor Evaluator</v>
      </c>
      <c r="B7">
        <f>Total!C15</f>
        <v>0</v>
      </c>
      <c r="C7">
        <f>Total!F15</f>
        <v>7</v>
      </c>
      <c r="D7">
        <f>Total!I15</f>
        <v>0</v>
      </c>
      <c r="E7">
        <f>Total!L15</f>
        <v>0</v>
      </c>
      <c r="F7">
        <f>Total!O15</f>
        <v>0</v>
      </c>
      <c r="G7">
        <f>Total!R15</f>
        <v>0</v>
      </c>
      <c r="H7">
        <f>Total!U15</f>
        <v>0</v>
      </c>
      <c r="I7">
        <f>Total!X15</f>
        <v>0</v>
      </c>
    </row>
    <row r="8" spans="1:9" x14ac:dyDescent="0.3">
      <c r="A8" t="str">
        <f>Total!A17</f>
        <v>Team Worker</v>
      </c>
      <c r="B8">
        <f>Total!C17</f>
        <v>1</v>
      </c>
      <c r="C8">
        <f>Total!F17</f>
        <v>9</v>
      </c>
      <c r="D8">
        <f>Total!I17</f>
        <v>0</v>
      </c>
      <c r="E8">
        <f>Total!L17</f>
        <v>0</v>
      </c>
      <c r="F8">
        <f>Total!O17</f>
        <v>0</v>
      </c>
      <c r="G8">
        <f>Total!R17</f>
        <v>0</v>
      </c>
      <c r="H8">
        <f>Total!U17</f>
        <v>0</v>
      </c>
      <c r="I8">
        <f>Total!X17</f>
        <v>0</v>
      </c>
    </row>
    <row r="9" spans="1:9" x14ac:dyDescent="0.3">
      <c r="A9" t="str">
        <f>Total!A19</f>
        <v>Complete Finisher</v>
      </c>
      <c r="B9">
        <f>Total!C19</f>
        <v>2</v>
      </c>
      <c r="C9">
        <f>Total!F19</f>
        <v>9</v>
      </c>
      <c r="D9">
        <f>Total!I19</f>
        <v>0</v>
      </c>
      <c r="E9">
        <f>Total!L19</f>
        <v>0</v>
      </c>
      <c r="F9">
        <f>Total!O19</f>
        <v>0</v>
      </c>
      <c r="G9">
        <f>Total!R19</f>
        <v>0</v>
      </c>
      <c r="H9">
        <f>Total!U19</f>
        <v>0</v>
      </c>
      <c r="I9">
        <f>Total!X19</f>
        <v>0</v>
      </c>
    </row>
    <row r="10" spans="1:9" x14ac:dyDescent="0.3">
      <c r="A10" t="str">
        <f>Total!A21</f>
        <v>Specialist</v>
      </c>
      <c r="B10">
        <f>Total!C21</f>
        <v>1</v>
      </c>
      <c r="C10">
        <f>Total!F21</f>
        <v>6</v>
      </c>
      <c r="D10">
        <f>Total!I21</f>
        <v>0</v>
      </c>
      <c r="E10">
        <f>Total!L21</f>
        <v>0</v>
      </c>
      <c r="F10">
        <f>Total!O21</f>
        <v>0</v>
      </c>
      <c r="G10">
        <f>Total!R21</f>
        <v>0</v>
      </c>
      <c r="H10">
        <f>Total!U21</f>
        <v>0</v>
      </c>
      <c r="I10">
        <f>Total!X21</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2">
    <pageSetUpPr fitToPage="1"/>
  </sheetPr>
  <dimension ref="A1:F20"/>
  <sheetViews>
    <sheetView showGridLines="0" workbookViewId="0">
      <pane ySplit="1" topLeftCell="A2" activePane="bottomLeft" state="frozen"/>
      <selection pane="bottomLeft"/>
    </sheetView>
  </sheetViews>
  <sheetFormatPr defaultRowHeight="14.4" x14ac:dyDescent="0.3"/>
  <cols>
    <col min="1" max="1" width="13" customWidth="1"/>
    <col min="2" max="2" width="17.5546875" customWidth="1"/>
    <col min="3" max="3" width="63.5546875" customWidth="1"/>
    <col min="4" max="4" width="34.5546875" bestFit="1" customWidth="1"/>
    <col min="5" max="5" width="56.6640625" customWidth="1"/>
    <col min="6" max="6" width="34.6640625" customWidth="1"/>
  </cols>
  <sheetData>
    <row r="1" spans="1:6" ht="47.4" customHeight="1" x14ac:dyDescent="0.3">
      <c r="A1" s="43"/>
      <c r="B1" s="43" t="s">
        <v>95</v>
      </c>
      <c r="C1" s="43" t="s">
        <v>96</v>
      </c>
      <c r="D1" s="43" t="s">
        <v>97</v>
      </c>
      <c r="E1" s="43" t="s">
        <v>98</v>
      </c>
      <c r="F1" s="43" t="s">
        <v>99</v>
      </c>
    </row>
    <row r="2" spans="1:6" ht="54" customHeight="1" x14ac:dyDescent="0.3">
      <c r="A2" s="175"/>
      <c r="B2" s="175" t="s">
        <v>100</v>
      </c>
      <c r="C2" s="176" t="s">
        <v>101</v>
      </c>
      <c r="D2" s="176" t="s">
        <v>102</v>
      </c>
      <c r="E2" s="181" t="s">
        <v>103</v>
      </c>
      <c r="F2" s="44" t="s">
        <v>104</v>
      </c>
    </row>
    <row r="3" spans="1:6" ht="54" customHeight="1" x14ac:dyDescent="0.3">
      <c r="A3" s="180"/>
      <c r="B3" s="180"/>
      <c r="C3" s="172"/>
      <c r="D3" s="172"/>
      <c r="E3" s="172"/>
      <c r="F3" s="45" t="s">
        <v>105</v>
      </c>
    </row>
    <row r="4" spans="1:6" ht="54" customHeight="1" x14ac:dyDescent="0.3">
      <c r="A4" s="177"/>
      <c r="B4" s="177" t="s">
        <v>86</v>
      </c>
      <c r="C4" s="178" t="s">
        <v>106</v>
      </c>
      <c r="D4" s="178" t="s">
        <v>107</v>
      </c>
      <c r="E4" s="179" t="s">
        <v>108</v>
      </c>
      <c r="F4" s="47" t="s">
        <v>109</v>
      </c>
    </row>
    <row r="5" spans="1:6" ht="54" customHeight="1" x14ac:dyDescent="0.3">
      <c r="A5" s="177"/>
      <c r="B5" s="177"/>
      <c r="C5" s="178"/>
      <c r="D5" s="178"/>
      <c r="E5" s="178"/>
      <c r="F5" s="47" t="s">
        <v>110</v>
      </c>
    </row>
    <row r="6" spans="1:6" ht="33.9" customHeight="1" x14ac:dyDescent="0.3">
      <c r="A6" s="174"/>
      <c r="B6" s="174" t="s">
        <v>111</v>
      </c>
      <c r="C6" s="171" t="s">
        <v>112</v>
      </c>
      <c r="D6" s="46" t="s">
        <v>113</v>
      </c>
      <c r="E6" s="173" t="s">
        <v>114</v>
      </c>
      <c r="F6" s="46" t="s">
        <v>115</v>
      </c>
    </row>
    <row r="7" spans="1:6" ht="33.9" customHeight="1" x14ac:dyDescent="0.3">
      <c r="A7" s="175"/>
      <c r="B7" s="175"/>
      <c r="C7" s="176"/>
      <c r="D7" s="44" t="s">
        <v>116</v>
      </c>
      <c r="E7" s="176"/>
      <c r="F7" s="176" t="s">
        <v>117</v>
      </c>
    </row>
    <row r="8" spans="1:6" ht="33.9" customHeight="1" x14ac:dyDescent="0.3">
      <c r="A8" s="180"/>
      <c r="B8" s="180"/>
      <c r="C8" s="172"/>
      <c r="D8" s="45" t="s">
        <v>118</v>
      </c>
      <c r="E8" s="172"/>
      <c r="F8" s="172"/>
    </row>
    <row r="9" spans="1:6" ht="54" customHeight="1" x14ac:dyDescent="0.3">
      <c r="A9" s="177"/>
      <c r="B9" s="177" t="s">
        <v>84</v>
      </c>
      <c r="C9" s="178" t="s">
        <v>119</v>
      </c>
      <c r="D9" s="178" t="s">
        <v>120</v>
      </c>
      <c r="E9" s="179" t="s">
        <v>121</v>
      </c>
      <c r="F9" s="47" t="s">
        <v>122</v>
      </c>
    </row>
    <row r="10" spans="1:6" ht="54" customHeight="1" x14ac:dyDescent="0.3">
      <c r="A10" s="177"/>
      <c r="B10" s="177"/>
      <c r="C10" s="178"/>
      <c r="D10" s="178"/>
      <c r="E10" s="178"/>
      <c r="F10" s="47" t="s">
        <v>123</v>
      </c>
    </row>
    <row r="11" spans="1:6" ht="54" customHeight="1" x14ac:dyDescent="0.3">
      <c r="A11" s="174"/>
      <c r="B11" s="174" t="s">
        <v>87</v>
      </c>
      <c r="C11" s="171" t="s">
        <v>124</v>
      </c>
      <c r="D11" s="171" t="s">
        <v>125</v>
      </c>
      <c r="E11" s="173" t="s">
        <v>126</v>
      </c>
      <c r="F11" s="46" t="s">
        <v>127</v>
      </c>
    </row>
    <row r="12" spans="1:6" ht="54" customHeight="1" x14ac:dyDescent="0.3">
      <c r="A12" s="180"/>
      <c r="B12" s="180"/>
      <c r="C12" s="172"/>
      <c r="D12" s="172"/>
      <c r="E12" s="172"/>
      <c r="F12" s="45" t="s">
        <v>128</v>
      </c>
    </row>
    <row r="13" spans="1:6" ht="54" customHeight="1" x14ac:dyDescent="0.3">
      <c r="A13" s="177"/>
      <c r="B13" s="177" t="s">
        <v>129</v>
      </c>
      <c r="C13" s="178" t="s">
        <v>130</v>
      </c>
      <c r="D13" s="178" t="s">
        <v>131</v>
      </c>
      <c r="E13" s="179" t="s">
        <v>132</v>
      </c>
      <c r="F13" s="47" t="s">
        <v>133</v>
      </c>
    </row>
    <row r="14" spans="1:6" ht="54" customHeight="1" x14ac:dyDescent="0.3">
      <c r="A14" s="177"/>
      <c r="B14" s="177"/>
      <c r="C14" s="178"/>
      <c r="D14" s="178"/>
      <c r="E14" s="178"/>
      <c r="F14" s="47" t="s">
        <v>134</v>
      </c>
    </row>
    <row r="15" spans="1:6" ht="54" customHeight="1" x14ac:dyDescent="0.3">
      <c r="A15" s="174"/>
      <c r="B15" s="174" t="s">
        <v>135</v>
      </c>
      <c r="C15" s="171" t="s">
        <v>136</v>
      </c>
      <c r="D15" s="171" t="s">
        <v>137</v>
      </c>
      <c r="E15" s="173" t="s">
        <v>138</v>
      </c>
      <c r="F15" s="46" t="s">
        <v>139</v>
      </c>
    </row>
    <row r="16" spans="1:6" ht="54" customHeight="1" x14ac:dyDescent="0.3">
      <c r="A16" s="180"/>
      <c r="B16" s="180"/>
      <c r="C16" s="172"/>
      <c r="D16" s="172"/>
      <c r="E16" s="172"/>
      <c r="F16" s="45" t="s">
        <v>140</v>
      </c>
    </row>
    <row r="17" spans="1:6" ht="54" customHeight="1" x14ac:dyDescent="0.3">
      <c r="A17" s="177"/>
      <c r="B17" s="177" t="s">
        <v>141</v>
      </c>
      <c r="C17" s="178" t="s">
        <v>142</v>
      </c>
      <c r="D17" s="47" t="s">
        <v>143</v>
      </c>
      <c r="E17" s="179" t="s">
        <v>144</v>
      </c>
      <c r="F17" s="47" t="s">
        <v>145</v>
      </c>
    </row>
    <row r="18" spans="1:6" ht="54" customHeight="1" x14ac:dyDescent="0.3">
      <c r="A18" s="177"/>
      <c r="B18" s="177"/>
      <c r="C18" s="178"/>
      <c r="D18" s="47" t="s">
        <v>146</v>
      </c>
      <c r="E18" s="178"/>
      <c r="F18" s="47" t="s">
        <v>147</v>
      </c>
    </row>
    <row r="19" spans="1:6" ht="54" customHeight="1" x14ac:dyDescent="0.3">
      <c r="A19" s="174"/>
      <c r="B19" s="174" t="s">
        <v>90</v>
      </c>
      <c r="C19" s="171" t="s">
        <v>148</v>
      </c>
      <c r="D19" s="171" t="s">
        <v>149</v>
      </c>
      <c r="E19" s="173" t="s">
        <v>150</v>
      </c>
      <c r="F19" s="46" t="s">
        <v>151</v>
      </c>
    </row>
    <row r="20" spans="1:6" ht="54" customHeight="1" x14ac:dyDescent="0.3">
      <c r="A20" s="175"/>
      <c r="B20" s="175"/>
      <c r="C20" s="176"/>
      <c r="D20" s="176"/>
      <c r="E20" s="176"/>
      <c r="F20" s="44" t="s">
        <v>152</v>
      </c>
    </row>
  </sheetData>
  <mergeCells count="44">
    <mergeCell ref="A4:A5"/>
    <mergeCell ref="B4:B5"/>
    <mergeCell ref="C4:C5"/>
    <mergeCell ref="D4:D5"/>
    <mergeCell ref="E4:E5"/>
    <mergeCell ref="A2:A3"/>
    <mergeCell ref="B2:B3"/>
    <mergeCell ref="C2:C3"/>
    <mergeCell ref="D2:D3"/>
    <mergeCell ref="E2:E3"/>
    <mergeCell ref="A9:A10"/>
    <mergeCell ref="B9:B10"/>
    <mergeCell ref="C9:C10"/>
    <mergeCell ref="D9:D10"/>
    <mergeCell ref="E9:E10"/>
    <mergeCell ref="A6:A8"/>
    <mergeCell ref="B6:B8"/>
    <mergeCell ref="C6:C8"/>
    <mergeCell ref="E6:E8"/>
    <mergeCell ref="F7:F8"/>
    <mergeCell ref="A13:A14"/>
    <mergeCell ref="B13:B14"/>
    <mergeCell ref="C13:C14"/>
    <mergeCell ref="D13:D14"/>
    <mergeCell ref="E13:E14"/>
    <mergeCell ref="A11:A12"/>
    <mergeCell ref="B11:B12"/>
    <mergeCell ref="C11:C12"/>
    <mergeCell ref="D11:D12"/>
    <mergeCell ref="E11:E12"/>
    <mergeCell ref="C15:C16"/>
    <mergeCell ref="D15:D16"/>
    <mergeCell ref="E15:E16"/>
    <mergeCell ref="A19:A20"/>
    <mergeCell ref="B19:B20"/>
    <mergeCell ref="C19:C20"/>
    <mergeCell ref="D19:D20"/>
    <mergeCell ref="E19:E20"/>
    <mergeCell ref="A17:A18"/>
    <mergeCell ref="B17:B18"/>
    <mergeCell ref="C17:C18"/>
    <mergeCell ref="E17:E18"/>
    <mergeCell ref="A15:A16"/>
    <mergeCell ref="B15:B16"/>
  </mergeCells>
  <printOptions horizontalCentered="1" verticalCentered="1"/>
  <pageMargins left="0.7" right="0.7" top="0.75" bottom="0.75" header="0.3" footer="0.3"/>
  <pageSetup paperSize="9" scale="47" orientation="landscape"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3">
    <pageSetUpPr fitToPage="1"/>
  </sheetPr>
  <dimension ref="A1:F21"/>
  <sheetViews>
    <sheetView showGridLines="0" topLeftCell="D1" workbookViewId="0">
      <pane ySplit="2" topLeftCell="A3" activePane="bottomLeft" state="frozen"/>
      <selection pane="bottomLeft" activeCell="F1" sqref="F1"/>
    </sheetView>
  </sheetViews>
  <sheetFormatPr defaultRowHeight="14.4" x14ac:dyDescent="0.3"/>
  <cols>
    <col min="1" max="1" width="17.5546875" customWidth="1"/>
    <col min="2" max="2" width="63.5546875" customWidth="1"/>
    <col min="3" max="3" width="34.5546875" bestFit="1" customWidth="1"/>
    <col min="4" max="4" width="56.6640625" customWidth="1"/>
    <col min="5" max="5" width="34.6640625" customWidth="1"/>
  </cols>
  <sheetData>
    <row r="1" spans="1:6" ht="43.5" customHeight="1" x14ac:dyDescent="0.3">
      <c r="F1" s="37" t="s">
        <v>161</v>
      </c>
    </row>
    <row r="2" spans="1:6" ht="27.75" customHeight="1" x14ac:dyDescent="0.3">
      <c r="A2" s="48" t="s">
        <v>95</v>
      </c>
      <c r="B2" s="48" t="s">
        <v>96</v>
      </c>
      <c r="C2" s="48" t="s">
        <v>97</v>
      </c>
      <c r="D2" s="48" t="s">
        <v>98</v>
      </c>
      <c r="E2" s="48" t="s">
        <v>99</v>
      </c>
      <c r="F2" s="37">
        <v>1</v>
      </c>
    </row>
    <row r="3" spans="1:6" ht="54" hidden="1" customHeight="1" x14ac:dyDescent="0.3">
      <c r="A3" s="183" t="s">
        <v>100</v>
      </c>
      <c r="B3" s="185" t="s">
        <v>101</v>
      </c>
      <c r="C3" s="185" t="s">
        <v>102</v>
      </c>
      <c r="D3" s="192" t="s">
        <v>103</v>
      </c>
      <c r="E3" s="49" t="s">
        <v>104</v>
      </c>
    </row>
    <row r="4" spans="1:6" ht="54" hidden="1" customHeight="1" x14ac:dyDescent="0.3">
      <c r="A4" s="187"/>
      <c r="B4" s="188"/>
      <c r="C4" s="188"/>
      <c r="D4" s="188"/>
      <c r="E4" s="50" t="s">
        <v>105</v>
      </c>
    </row>
    <row r="5" spans="1:6" ht="54" hidden="1" customHeight="1" x14ac:dyDescent="0.3">
      <c r="A5" s="189" t="s">
        <v>86</v>
      </c>
      <c r="B5" s="190" t="s">
        <v>106</v>
      </c>
      <c r="C5" s="190" t="s">
        <v>153</v>
      </c>
      <c r="D5" s="191" t="s">
        <v>108</v>
      </c>
      <c r="E5" s="51" t="s">
        <v>109</v>
      </c>
    </row>
    <row r="6" spans="1:6" ht="54" hidden="1" customHeight="1" x14ac:dyDescent="0.3">
      <c r="A6" s="189"/>
      <c r="B6" s="190"/>
      <c r="C6" s="190"/>
      <c r="D6" s="190"/>
      <c r="E6" s="51" t="s">
        <v>110</v>
      </c>
    </row>
    <row r="7" spans="1:6" ht="33.9" hidden="1" customHeight="1" x14ac:dyDescent="0.3">
      <c r="A7" s="182" t="s">
        <v>111</v>
      </c>
      <c r="B7" s="184" t="s">
        <v>112</v>
      </c>
      <c r="C7" s="52" t="s">
        <v>113</v>
      </c>
      <c r="D7" s="186" t="s">
        <v>114</v>
      </c>
      <c r="E7" s="52" t="s">
        <v>115</v>
      </c>
    </row>
    <row r="8" spans="1:6" ht="33.9" hidden="1" customHeight="1" x14ac:dyDescent="0.3">
      <c r="A8" s="183"/>
      <c r="B8" s="185"/>
      <c r="C8" s="49" t="s">
        <v>116</v>
      </c>
      <c r="D8" s="185"/>
      <c r="E8" s="185" t="s">
        <v>117</v>
      </c>
    </row>
    <row r="9" spans="1:6" ht="33.9" hidden="1" customHeight="1" x14ac:dyDescent="0.3">
      <c r="A9" s="187"/>
      <c r="B9" s="188"/>
      <c r="C9" s="50" t="s">
        <v>118</v>
      </c>
      <c r="D9" s="188"/>
      <c r="E9" s="188"/>
    </row>
    <row r="10" spans="1:6" ht="54" hidden="1" customHeight="1" x14ac:dyDescent="0.3">
      <c r="A10" s="189" t="s">
        <v>84</v>
      </c>
      <c r="B10" s="190" t="s">
        <v>119</v>
      </c>
      <c r="C10" s="190" t="s">
        <v>120</v>
      </c>
      <c r="D10" s="191" t="s">
        <v>121</v>
      </c>
      <c r="E10" s="51" t="s">
        <v>122</v>
      </c>
    </row>
    <row r="11" spans="1:6" ht="54" hidden="1" customHeight="1" x14ac:dyDescent="0.3">
      <c r="A11" s="189"/>
      <c r="B11" s="190"/>
      <c r="C11" s="190"/>
      <c r="D11" s="190"/>
      <c r="E11" s="51" t="s">
        <v>123</v>
      </c>
    </row>
    <row r="12" spans="1:6" ht="54" hidden="1" customHeight="1" x14ac:dyDescent="0.3">
      <c r="A12" s="182" t="s">
        <v>87</v>
      </c>
      <c r="B12" s="184" t="s">
        <v>124</v>
      </c>
      <c r="C12" s="184" t="s">
        <v>125</v>
      </c>
      <c r="D12" s="186" t="s">
        <v>126</v>
      </c>
      <c r="E12" s="52" t="s">
        <v>127</v>
      </c>
    </row>
    <row r="13" spans="1:6" ht="54" hidden="1" customHeight="1" x14ac:dyDescent="0.3">
      <c r="A13" s="187"/>
      <c r="B13" s="188"/>
      <c r="C13" s="188"/>
      <c r="D13" s="188"/>
      <c r="E13" s="50" t="s">
        <v>128</v>
      </c>
    </row>
    <row r="14" spans="1:6" ht="54" hidden="1" customHeight="1" x14ac:dyDescent="0.3">
      <c r="A14" s="189" t="s">
        <v>129</v>
      </c>
      <c r="B14" s="190" t="s">
        <v>130</v>
      </c>
      <c r="C14" s="190" t="s">
        <v>131</v>
      </c>
      <c r="D14" s="191" t="s">
        <v>132</v>
      </c>
      <c r="E14" s="51" t="s">
        <v>133</v>
      </c>
    </row>
    <row r="15" spans="1:6" ht="54" hidden="1" customHeight="1" x14ac:dyDescent="0.3">
      <c r="A15" s="189"/>
      <c r="B15" s="190"/>
      <c r="C15" s="190"/>
      <c r="D15" s="190"/>
      <c r="E15" s="51" t="s">
        <v>134</v>
      </c>
    </row>
    <row r="16" spans="1:6" ht="54" hidden="1" customHeight="1" x14ac:dyDescent="0.3">
      <c r="A16" s="182" t="s">
        <v>135</v>
      </c>
      <c r="B16" s="184" t="s">
        <v>136</v>
      </c>
      <c r="C16" s="184" t="s">
        <v>137</v>
      </c>
      <c r="D16" s="186" t="s">
        <v>138</v>
      </c>
      <c r="E16" s="52" t="s">
        <v>139</v>
      </c>
    </row>
    <row r="17" spans="1:5" ht="54" hidden="1" customHeight="1" x14ac:dyDescent="0.3">
      <c r="A17" s="187"/>
      <c r="B17" s="188"/>
      <c r="C17" s="188"/>
      <c r="D17" s="188"/>
      <c r="E17" s="50" t="s">
        <v>140</v>
      </c>
    </row>
    <row r="18" spans="1:5" ht="54" hidden="1" customHeight="1" x14ac:dyDescent="0.3">
      <c r="A18" s="189" t="s">
        <v>141</v>
      </c>
      <c r="B18" s="190" t="s">
        <v>142</v>
      </c>
      <c r="C18" s="51" t="s">
        <v>143</v>
      </c>
      <c r="D18" s="191" t="s">
        <v>144</v>
      </c>
      <c r="E18" s="51" t="s">
        <v>145</v>
      </c>
    </row>
    <row r="19" spans="1:5" ht="54" hidden="1" customHeight="1" x14ac:dyDescent="0.3">
      <c r="A19" s="189"/>
      <c r="B19" s="190"/>
      <c r="C19" s="51" t="s">
        <v>146</v>
      </c>
      <c r="D19" s="190"/>
      <c r="E19" s="51" t="s">
        <v>147</v>
      </c>
    </row>
    <row r="20" spans="1:5" ht="54" customHeight="1" x14ac:dyDescent="0.3">
      <c r="A20" s="182" t="s">
        <v>90</v>
      </c>
      <c r="B20" s="184" t="s">
        <v>148</v>
      </c>
      <c r="C20" s="184" t="s">
        <v>149</v>
      </c>
      <c r="D20" s="186" t="s">
        <v>150</v>
      </c>
      <c r="E20" s="52" t="s">
        <v>151</v>
      </c>
    </row>
    <row r="21" spans="1:5" ht="54" customHeight="1" x14ac:dyDescent="0.3">
      <c r="A21" s="183"/>
      <c r="B21" s="185"/>
      <c r="C21" s="185"/>
      <c r="D21" s="185"/>
      <c r="E21" s="49" t="s">
        <v>152</v>
      </c>
    </row>
  </sheetData>
  <mergeCells count="35">
    <mergeCell ref="A3:A4"/>
    <mergeCell ref="B3:B4"/>
    <mergeCell ref="C3:C4"/>
    <mergeCell ref="D3:D4"/>
    <mergeCell ref="A5:A6"/>
    <mergeCell ref="B5:B6"/>
    <mergeCell ref="C5:C6"/>
    <mergeCell ref="D5:D6"/>
    <mergeCell ref="A7:A9"/>
    <mergeCell ref="B7:B9"/>
    <mergeCell ref="D7:D9"/>
    <mergeCell ref="E8:E9"/>
    <mergeCell ref="A10:A11"/>
    <mergeCell ref="B10:B11"/>
    <mergeCell ref="C10:C11"/>
    <mergeCell ref="D10:D11"/>
    <mergeCell ref="A12:A13"/>
    <mergeCell ref="B12:B13"/>
    <mergeCell ref="C12:C13"/>
    <mergeCell ref="D12:D13"/>
    <mergeCell ref="A14:A15"/>
    <mergeCell ref="B14:B15"/>
    <mergeCell ref="C14:C15"/>
    <mergeCell ref="D14:D15"/>
    <mergeCell ref="A20:A21"/>
    <mergeCell ref="B20:B21"/>
    <mergeCell ref="C20:C21"/>
    <mergeCell ref="D20:D21"/>
    <mergeCell ref="A16:A17"/>
    <mergeCell ref="B16:B17"/>
    <mergeCell ref="C16:C17"/>
    <mergeCell ref="D16:D17"/>
    <mergeCell ref="A18:A19"/>
    <mergeCell ref="B18:B19"/>
    <mergeCell ref="D18:D19"/>
  </mergeCells>
  <printOptions horizontalCentered="1" verticalCentered="1"/>
  <pageMargins left="0.70866141732283472" right="0.70866141732283472" top="0.74803149606299213" bottom="0.74803149606299213" header="0.31496062992125984" footer="0.31496062992125984"/>
  <pageSetup paperSize="9" scale="47" orientation="landscape" verticalDpi="0"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Start</vt:lpstr>
      <vt:lpstr>SON CAO</vt:lpstr>
      <vt:lpstr>2</vt:lpstr>
      <vt:lpstr>3</vt:lpstr>
      <vt:lpstr>4</vt:lpstr>
      <vt:lpstr>5</vt:lpstr>
      <vt:lpstr>6</vt:lpstr>
      <vt:lpstr>7</vt:lpstr>
      <vt:lpstr>8</vt:lpstr>
      <vt:lpstr>Total</vt:lpstr>
      <vt:lpstr>Graph</vt:lpstr>
      <vt:lpstr>Belbin Roles</vt:lpstr>
      <vt:lpstr>Belbin Roles (2)</vt:lpstr>
    </vt:vector>
  </TitlesOfParts>
  <Company>Saxion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saxion</dc:creator>
  <cp:lastModifiedBy>Son Cao</cp:lastModifiedBy>
  <cp:lastPrinted>2015-08-28T13:25:53Z</cp:lastPrinted>
  <dcterms:created xsi:type="dcterms:W3CDTF">2015-05-19T10:36:31Z</dcterms:created>
  <dcterms:modified xsi:type="dcterms:W3CDTF">2025-04-06T06:41:06Z</dcterms:modified>
</cp:coreProperties>
</file>